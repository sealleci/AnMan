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EE790A1D-B1FB-4F43-BE58-4028EDE4CF83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77" i="20" l="1"/>
  <c r="F2007" i="20"/>
  <c r="F2072" i="20"/>
  <c r="F2" i="20"/>
  <c r="F2073" i="20"/>
  <c r="F2071" i="20"/>
  <c r="F2070" i="20"/>
  <c r="F2069" i="20"/>
  <c r="F2068" i="20"/>
  <c r="F2067" i="20"/>
  <c r="F2066" i="20"/>
  <c r="F2064" i="20"/>
  <c r="F2031" i="20"/>
  <c r="F2004" i="20"/>
  <c r="F2054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51" i="20"/>
  <c r="F2010" i="20"/>
  <c r="F352" i="20"/>
  <c r="F144" i="20" l="1"/>
  <c r="F43" i="20" l="1"/>
  <c r="F6" i="21"/>
  <c r="F2083" i="20"/>
  <c r="F1473" i="20"/>
  <c r="F3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47" i="20"/>
  <c r="F2061" i="20"/>
  <c r="F2006" i="20"/>
  <c r="F2030" i="20"/>
  <c r="F2037" i="20"/>
  <c r="F2002" i="20"/>
  <c r="F2075" i="20"/>
  <c r="F2021" i="20"/>
  <c r="F2016" i="20"/>
  <c r="F2014" i="20"/>
  <c r="F2012" i="20"/>
  <c r="F2057" i="20"/>
  <c r="F2044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20" i="20"/>
  <c r="F1503" i="20"/>
  <c r="F1502" i="20"/>
  <c r="F1500" i="20"/>
  <c r="F1499" i="20"/>
  <c r="F2013" i="20"/>
  <c r="F1351" i="20"/>
  <c r="F1350" i="20"/>
  <c r="F1349" i="20"/>
  <c r="F2062" i="20"/>
  <c r="F2033" i="20"/>
  <c r="F2059" i="20"/>
  <c r="F2038" i="20"/>
  <c r="F2045" i="20"/>
  <c r="F2058" i="20"/>
  <c r="F2050" i="20"/>
  <c r="F2018" i="20"/>
  <c r="F2035" i="20"/>
  <c r="F2048" i="20"/>
  <c r="F2040" i="20"/>
  <c r="F2042" i="20"/>
  <c r="F2022" i="20"/>
  <c r="F2024" i="20"/>
  <c r="F2052" i="20"/>
  <c r="F2026" i="20"/>
  <c r="F2027" i="20"/>
  <c r="F2025" i="20"/>
  <c r="F2008" i="20"/>
  <c r="F2003" i="20"/>
  <c r="F190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<sst xmlns="http://schemas.openxmlformats.org/spreadsheetml/2006/main" count="47141" uniqueCount="11626">
  <si>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</si>
  <si>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</si>
  <si>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</si>
  <si>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</si>
  <si>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</si>
  <si>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</si>
  <si>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</si>
  <si>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</si>
  <si>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</si>
  <si>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</si>
  <si>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</si>
  <si>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</si>
  <si>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</si>
  <si>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</si>
  <si>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</si>
  <si>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</si>
  <si>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</si>
  <si>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</si>
  <si>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</si>
  <si>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</si>
  <si>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</si>
  <si>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</si>
  <si>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</si>
  <si>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</si>
  <si>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</si>
  <si>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</si>
  <si>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</si>
  <si>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</si>
  <si>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</si>
  <si>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</si>
  <si>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</si>
  <si>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</si>
  <si>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</si>
  <si>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</si>
  <si>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</si>
  <si>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</si>
  <si>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</si>
  <si>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</si>
  <si>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</si>
  <si>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</si>
  <si>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</si>
  <si>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</si>
  <si>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</si>
  <si>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</si>
  <si>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</si>
  <si>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</si>
  <si>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</si>
  <si>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</si>
  <si>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</si>
  <si>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</si>
  <si>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</si>
  <si>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</si>
  <si>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</si>
  <si>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</si>
  <si>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</si>
  <si>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</si>
  <si>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</si>
  <si>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</si>
  <si>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</si>
  <si>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</si>
  <si>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</si>
  <si>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</si>
  <si>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</si>
  <si>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</si>
  <si>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</si>
  <si>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</si>
  <si>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</si>
  <si>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</si>
  <si>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</si>
  <si>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</si>
  <si>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</si>
  <si>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</si>
  <si>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</si>
  <si>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</si>
  <si>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</si>
  <si>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</si>
  <si>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</si>
  <si>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</si>
  <si>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</si>
  <si>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</si>
  <si>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</si>
  <si>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</si>
  <si>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</si>
  <si>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</si>
  <si>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</si>
  <si>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</si>
  <si>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</si>
  <si>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</si>
  <si>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</si>
  <si>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</si>
  <si>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</si>
  <si>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</si>
  <si>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</si>
  <si>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</si>
  <si>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</si>
  <si>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</si>
  <si>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</si>
  <si>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</si>
  <si>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</si>
  <si>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</si>
  <si>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</si>
  <si>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</si>
  <si>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</si>
  <si>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</si>
  <si>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</si>
  <si>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</si>
  <si>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</si>
  <si>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</si>
  <si>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</si>
  <si>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</si>
  <si>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</si>
  <si>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</si>
  <si>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</si>
  <si>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</si>
  <si>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</si>
  <si>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</si>
  <si>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</si>
  <si>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</si>
  <si>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</si>
  <si>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</si>
  <si>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</si>
  <si>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</si>
  <si>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</si>
  <si>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</si>
  <si>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</si>
  <si>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</si>
  <si>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</si>
  <si>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</si>
  <si>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</si>
  <si>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</si>
  <si>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</si>
  <si>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</si>
  <si>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</si>
  <si>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</si>
  <si>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</si>
  <si>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</si>
  <si>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</si>
  <si>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</si>
  <si>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</si>
  <si>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</si>
  <si>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</si>
  <si>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</si>
  <si>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</si>
  <si>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</si>
  <si>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</si>
  <si>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</si>
  <si>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</si>
  <si>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</si>
  <si>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</si>
  <si>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</si>
  <si>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</si>
  <si>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</si>
  <si>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</si>
  <si>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</si>
  <si>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</si>
  <si>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</si>
  <si>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</si>
  <si>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</si>
  <si>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</si>
  <si>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</si>
  <si>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</si>
  <si>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</si>
  <si>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</si>
  <si>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</si>
  <si>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</si>
  <si>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</si>
  <si>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</si>
  <si>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</si>
  <si>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</si>
  <si>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</si>
  <si>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</si>
  <si>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</si>
  <si>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</si>
  <si>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</si>
  <si>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</si>
  <si>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</si>
  <si>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</si>
  <si>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</si>
  <si>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</si>
  <si>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</si>
  <si>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</si>
  <si>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</si>
  <si>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</si>
  <si>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</si>
  <si>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</si>
  <si>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</si>
  <si>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</si>
  <si>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</si>
  <si>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</si>
  <si>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</si>
  <si>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</si>
  <si>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</si>
  <si>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</si>
  <si>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</si>
  <si>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</si>
  <si>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</si>
  <si>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</si>
  <si>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</si>
  <si>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</si>
  <si>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</si>
  <si>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</si>
  <si>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</si>
  <si>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</si>
  <si>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</si>
  <si>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</si>
  <si>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</si>
  <si>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</si>
  <si>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</si>
  <si>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</si>
  <si>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</si>
  <si>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</si>
  <si>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</si>
  <si>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</si>
  <si>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</si>
  <si>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</si>
  <si>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</si>
  <si>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</si>
  <si>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</si>
  <si>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</si>
  <si>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</si>
  <si>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</si>
  <si>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</si>
  <si>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</si>
  <si>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</si>
  <si>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</si>
  <si>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</si>
  <si>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</si>
  <si>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</si>
  <si>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</si>
  <si>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</si>
  <si>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</si>
  <si>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</si>
  <si>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</si>
  <si>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</si>
  <si>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</si>
  <si>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</si>
  <si>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</si>
  <si>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</si>
  <si>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</si>
  <si>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</si>
  <si>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</si>
  <si>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</si>
  <si>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</si>
  <si>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</si>
  <si>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</si>
  <si>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</si>
  <si>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</si>
  <si>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</si>
  <si>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</si>
  <si>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</si>
  <si>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</si>
  <si>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</si>
  <si>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</si>
  <si>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</si>
  <si>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</si>
  <si>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</si>
  <si>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</si>
  <si>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</si>
  <si>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</si>
  <si>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</si>
  <si>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</si>
  <si>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</si>
  <si>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</si>
  <si>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</si>
  <si>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</si>
  <si>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</si>
  <si>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</si>
  <si>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</si>
  <si>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</si>
  <si>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</si>
  <si>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</si>
  <si>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</si>
  <si>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</si>
  <si>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</si>
  <si>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</si>
  <si>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</si>
  <si>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</si>
  <si>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</si>
  <si>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</si>
  <si>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</si>
  <si>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</si>
  <si>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</si>
  <si>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</si>
  <si>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</si>
  <si>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</si>
  <si>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</si>
  <si>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</si>
  <si>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</si>
  <si>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</si>
  <si>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</si>
  <si>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</si>
  <si>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</si>
  <si>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</si>
  <si>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</si>
  <si>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</si>
  <si>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</si>
  <si>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</si>
  <si>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</si>
  <si>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</si>
  <si>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</si>
  <si>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</si>
  <si>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</si>
  <si>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</si>
  <si>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</si>
  <si>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</si>
  <si>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</si>
  <si>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</si>
  <si>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</si>
  <si>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</si>
  <si>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</si>
  <si>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</si>
  <si>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</si>
  <si>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</si>
  <si>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</si>
  <si>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</si>
  <si>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</si>
  <si>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</si>
  <si>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</si>
  <si>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</si>
  <si>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</si>
  <si>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</si>
  <si>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</si>
  <si>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</si>
  <si>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</si>
  <si>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</si>
  <si>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</si>
  <si>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</si>
  <si>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</si>
  <si>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</si>
  <si>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</si>
  <si>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</si>
  <si>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</si>
  <si>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</si>
  <si>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</si>
  <si>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</si>
  <si>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</si>
  <si>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</si>
  <si>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</si>
  <si>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</si>
  <si>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</si>
  <si>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</si>
  <si>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</si>
  <si>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</si>
  <si>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</si>
  <si>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</si>
  <si>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</si>
  <si>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</si>
  <si>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</si>
  <si>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</si>
  <si>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</si>
  <si>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</si>
  <si>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</si>
  <si>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</si>
  <si>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</si>
  <si>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</si>
  <si>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</si>
  <si>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</si>
  <si>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</si>
  <si>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</si>
  <si>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</si>
  <si>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</si>
  <si>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</si>
  <si>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</si>
  <si>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</si>
  <si>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</si>
  <si>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</si>
  <si>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</si>
  <si>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</si>
  <si>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</si>
  <si>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</si>
  <si>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</si>
  <si>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</si>
  <si>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</si>
  <si>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</si>
  <si>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</si>
  <si>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</si>
  <si>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</si>
  <si>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</si>
  <si>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</si>
  <si>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</si>
  <si>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</si>
  <si>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</si>
  <si>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</si>
  <si>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</si>
  <si>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</si>
  <si>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</si>
  <si>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</si>
  <si>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</si>
  <si>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</si>
  <si>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</si>
  <si>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</si>
  <si>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</si>
  <si>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</si>
  <si>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</si>
  <si>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</si>
  <si>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</si>
  <si>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</si>
  <si>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</si>
  <si>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</si>
  <si>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</si>
  <si>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</si>
  <si>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</si>
  <si>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</si>
  <si>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</si>
  <si>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</si>
  <si>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</si>
  <si>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</si>
  <si>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</si>
  <si>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</si>
  <si>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</si>
  <si>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</si>
  <si>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</si>
  <si>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</si>
  <si>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</si>
  <si>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</si>
  <si>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</si>
  <si>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</si>
  <si>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</si>
  <si>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</si>
  <si>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</si>
  <si>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</si>
  <si>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</si>
  <si>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</si>
  <si>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</si>
  <si>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</si>
  <si>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</si>
  <si>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</si>
  <si>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</si>
  <si>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</si>
  <si>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</si>
  <si>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</si>
  <si>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</si>
  <si>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</si>
  <si>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</si>
  <si>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</si>
  <si>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</si>
  <si>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</si>
  <si>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</si>
  <si>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</si>
  <si>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</si>
  <si>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</si>
  <si>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</si>
  <si>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</si>
  <si>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</si>
  <si>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</si>
  <si>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</si>
  <si>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</si>
  <si>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</si>
  <si>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</si>
  <si>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</si>
  <si>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</si>
  <si>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</si>
  <si>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</si>
  <si>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</si>
  <si>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</si>
  <si>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</si>
  <si>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</si>
  <si>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</si>
  <si>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</si>
  <si>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</si>
  <si>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</si>
  <si>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</si>
  <si>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</si>
  <si>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</si>
  <si>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</si>
  <si>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</si>
  <si>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</si>
  <si>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</si>
  <si>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</si>
  <si>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</si>
  <si>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</si>
  <si>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</si>
  <si>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</si>
  <si>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</si>
  <si>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</si>
  <si>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</si>
  <si>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</si>
  <si>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</si>
  <si>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</si>
  <si>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</si>
  <si>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</si>
  <si>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</si>
  <si>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</si>
  <si>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</si>
  <si>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</si>
  <si>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</si>
  <si>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</si>
  <si>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</si>
  <si>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</si>
  <si>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</si>
  <si>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</si>
  <si>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</si>
  <si>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</si>
  <si>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</si>
  <si>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</si>
  <si>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</si>
  <si>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</si>
  <si>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</si>
  <si>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</si>
  <si>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</si>
  <si>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</si>
  <si>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</si>
  <si>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</si>
  <si>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</si>
  <si>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</si>
  <si>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</si>
  <si>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</si>
  <si>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</si>
  <si>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</si>
  <si>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</si>
  <si>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</si>
  <si>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</si>
  <si>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</si>
  <si>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</si>
  <si>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</si>
  <si>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</si>
  <si>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</si>
  <si>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</si>
  <si>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</si>
  <si>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</si>
  <si>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</si>
  <si>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</si>
  <si>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</si>
  <si>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</si>
  <si>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</si>
  <si>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</si>
  <si>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</si>
  <si>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</si>
  <si>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</si>
  <si>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</si>
  <si>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</si>
  <si>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</si>
  <si>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</si>
  <si>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</si>
  <si>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</si>
  <si>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</si>
  <si>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</si>
  <si>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</si>
  <si>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</si>
  <si>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</si>
  <si>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</si>
  <si>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</si>
  <si>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</si>
  <si>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</si>
  <si>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</si>
  <si>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</si>
  <si>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</si>
  <si>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</si>
  <si>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</si>
  <si>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</si>
  <si>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</si>
  <si>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</si>
  <si>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</si>
  <si>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</si>
  <si>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</si>
  <si>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</si>
  <si>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</si>
  <si>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</si>
  <si>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</si>
  <si>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</si>
  <si>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</si>
  <si>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</si>
  <si>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</si>
  <si>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</si>
  <si>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</si>
  <si>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</si>
  <si>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</si>
  <si>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</si>
  <si>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</si>
  <si>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</si>
  <si>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</si>
  <si>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</si>
  <si>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</si>
  <si>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</si>
  <si>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</si>
  <si>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</si>
  <si>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</si>
  <si>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</si>
  <si>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</si>
  <si>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</si>
  <si>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</si>
  <si>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</si>
  <si>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</si>
  <si>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</si>
  <si>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</si>
  <si>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</si>
  <si>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</si>
  <si>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</si>
  <si>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</si>
  <si>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</si>
  <si>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</si>
  <si>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</si>
  <si>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</si>
  <si>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</si>
  <si>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</si>
  <si>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</si>
  <si>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</si>
  <si>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</si>
  <si>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</si>
  <si>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</si>
  <si>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</si>
  <si>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</si>
  <si>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</si>
  <si>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</si>
  <si>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</si>
  <si>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</si>
  <si>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</si>
  <si>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</si>
  <si>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</si>
  <si>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</si>
  <si>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</si>
  <si>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</si>
  <si>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</si>
  <si>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</si>
  <si>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</si>
  <si>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</si>
  <si>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</si>
  <si>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</si>
  <si>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</si>
  <si>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</si>
  <si>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</si>
  <si>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</si>
  <si>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</si>
  <si>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</si>
  <si>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</si>
  <si>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</si>
  <si>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</si>
  <si>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</si>
  <si>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</si>
  <si>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</si>
  <si>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</si>
  <si>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</si>
  <si>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</si>
  <si>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</si>
  <si>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</si>
  <si>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</si>
  <si>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</si>
  <si>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</si>
  <si>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</si>
  <si>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</si>
  <si>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</si>
  <si>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</si>
  <si>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</si>
  <si>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</si>
  <si>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</si>
  <si>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</si>
  <si>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</si>
  <si>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</si>
  <si>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</si>
  <si>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</si>
  <si>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</si>
  <si>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</si>
  <si>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</si>
  <si>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</si>
  <si>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</si>
  <si>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</si>
  <si>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</si>
  <si>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</si>
  <si>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</si>
  <si>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</si>
  <si>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</si>
  <si>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</si>
  <si>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</si>
  <si>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</si>
  <si>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</si>
  <si>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</si>
  <si>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</si>
  <si>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</si>
  <si>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</si>
  <si>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</si>
  <si>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</si>
  <si>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</si>
  <si>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</si>
  <si>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</si>
  <si>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</si>
  <si>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</si>
  <si>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</si>
  <si>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</si>
  <si>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</si>
  <si>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</si>
  <si>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</si>
  <si>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</si>
  <si>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</si>
  <si>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</si>
  <si>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</si>
  <si>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</si>
  <si>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</si>
  <si>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</si>
  <si>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</si>
  <si>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</si>
  <si>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</si>
  <si>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</si>
  <si>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</si>
  <si>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</si>
  <si>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</si>
  <si>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</si>
  <si>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</si>
  <si>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</si>
  <si>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</si>
  <si>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</si>
  <si>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</si>
  <si>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</si>
  <si>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</si>
  <si>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</si>
  <si>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</si>
  <si>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</si>
  <si>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</si>
  <si>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</si>
  <si>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</si>
  <si>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</si>
  <si>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</si>
  <si>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</si>
  <si>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</si>
  <si>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</si>
  <si>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</si>
  <si>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</si>
  <si>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</si>
  <si>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</si>
  <si>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</si>
  <si>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</si>
  <si>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</si>
  <si>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</si>
  <si>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</si>
  <si>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</si>
  <si>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</si>
  <si>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</si>
  <si>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</si>
  <si>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</si>
  <si>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</si>
  <si>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</si>
  <si>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</si>
  <si>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</si>
  <si>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</si>
  <si>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</si>
  <si>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</si>
  <si>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</si>
  <si>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</si>
  <si>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</si>
  <si>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</si>
  <si>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</si>
  <si>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</si>
  <si>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</si>
  <si>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</si>
  <si>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</si>
  <si>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</si>
  <si>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</si>
  <si>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</si>
  <si>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</si>
  <si>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</si>
  <si>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</si>
  <si>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</si>
  <si>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</si>
  <si>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</si>
  <si>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</si>
  <si>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</si>
  <si>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</si>
  <si>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</si>
  <si>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</si>
  <si>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</si>
  <si>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</si>
  <si>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</si>
  <si>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</si>
  <si>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</si>
  <si>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</si>
  <si>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</si>
  <si>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</si>
  <si>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</si>
  <si>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</si>
  <si>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</si>
  <si>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</si>
  <si>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</si>
  <si>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</si>
  <si>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</si>
  <si>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</si>
  <si>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</si>
  <si>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</si>
  <si>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</si>
  <si>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</si>
  <si>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</si>
  <si>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</si>
  <si>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</si>
  <si>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</si>
  <si>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</si>
  <si>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</si>
  <si>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</si>
  <si>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</si>
  <si>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</si>
  <si>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</si>
  <si>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</si>
  <si>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</si>
  <si>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</si>
  <si>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</si>
  <si>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</si>
  <si>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</si>
  <si>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</si>
  <si>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</si>
  <si>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</si>
  <si>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</si>
  <si>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</si>
  <si>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</si>
  <si>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</si>
  <si>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</si>
  <si>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</si>
  <si>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</si>
  <si>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</si>
  <si>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</si>
  <si>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</si>
  <si>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</si>
  <si>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</si>
  <si>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</si>
  <si>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</si>
  <si>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</si>
  <si>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</si>
  <si>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</si>
  <si>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</si>
  <si>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</si>
  <si>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</si>
  <si>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</si>
  <si>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</si>
  <si>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</si>
  <si>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</si>
  <si>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</si>
  <si>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</si>
  <si>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</si>
  <si>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</si>
  <si>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</si>
  <si>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</si>
  <si>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</si>
  <si>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</si>
  <si>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</si>
  <si>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</si>
  <si>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</si>
  <si>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</si>
  <si>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</si>
  <si>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</si>
  <si>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</si>
  <si>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</si>
  <si>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</si>
  <si>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</si>
  <si>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</si>
  <si>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</si>
  <si>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</si>
  <si>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</si>
  <si>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</si>
  <si>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</si>
  <si>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</si>
  <si>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</si>
  <si>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</si>
  <si>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</si>
  <si>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</si>
  <si>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</si>
  <si>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</si>
  <si>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</si>
  <si>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</si>
  <si>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</si>
  <si>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</si>
  <si>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</si>
  <si>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</si>
  <si>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</si>
  <si>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</si>
  <si>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</si>
  <si>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</si>
  <si>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</si>
  <si>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</si>
  <si>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</si>
  <si>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</si>
  <si>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</si>
  <si>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</si>
  <si>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</si>
  <si>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</si>
  <si>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</si>
  <si>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</si>
  <si>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</si>
  <si>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</si>
  <si>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</si>
  <si>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</si>
  <si>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</si>
  <si>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</si>
  <si>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</si>
  <si>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</si>
  <si>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</si>
  <si>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</si>
  <si>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</si>
  <si>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</si>
  <si>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</si>
  <si>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</si>
  <si>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</si>
  <si>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</si>
  <si>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</si>
  <si>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</si>
  <si>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</si>
  <si>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</si>
  <si>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</si>
  <si>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</si>
  <si>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</si>
  <si>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</si>
  <si>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</si>
  <si>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</si>
  <si>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</si>
  <si>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</si>
  <si>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</si>
  <si>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</si>
  <si>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</si>
  <si>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</si>
  <si>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</si>
  <si>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</si>
  <si>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</si>
  <si>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</si>
  <si>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</si>
  <si>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</si>
  <si>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</si>
  <si>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</si>
  <si>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</si>
  <si>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</si>
  <si>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</si>
  <si>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</si>
  <si>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</si>
  <si>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</si>
  <si>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</si>
  <si>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</si>
  <si>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</si>
  <si>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</si>
  <si>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</si>
  <si>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</si>
  <si>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</si>
  <si>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</si>
  <si>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</si>
  <si>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</si>
  <si>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</si>
  <si>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</si>
  <si>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</si>
  <si>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</si>
  <si>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</si>
  <si>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</si>
  <si>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</si>
  <si>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</si>
  <si>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</si>
  <si>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</si>
  <si>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</si>
  <si>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</si>
  <si>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</si>
  <si>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</si>
  <si>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</si>
  <si>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</si>
  <si>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</si>
  <si>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</si>
  <si>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</si>
  <si>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</si>
  <si>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</si>
  <si>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</si>
  <si>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</si>
  <si>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</si>
  <si>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</si>
  <si>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</si>
  <si>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</si>
  <si>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</si>
  <si>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</si>
  <si>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</si>
  <si>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</si>
  <si>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</si>
  <si>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</si>
  <si>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</si>
  <si>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</si>
  <si>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</si>
  <si>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</si>
  <si>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</si>
  <si>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</si>
  <si>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</si>
  <si>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</si>
  <si>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</si>
  <si>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</si>
  <si>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</si>
  <si>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</si>
  <si>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</si>
  <si>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</si>
  <si>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</si>
  <si>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</si>
  <si>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</si>
  <si>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</si>
  <si>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</si>
  <si>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</si>
  <si>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</si>
  <si>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</si>
  <si>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</si>
  <si>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</si>
  <si>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</si>
  <si>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</si>
  <si>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</si>
  <si>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</si>
  <si>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</si>
  <si>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</si>
  <si>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</si>
  <si>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</si>
  <si>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</si>
  <si>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</si>
  <si>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</si>
  <si>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</si>
  <si>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</si>
  <si>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</si>
  <si>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</si>
  <si>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</si>
  <si>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</si>
  <si>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</si>
  <si>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</si>
  <si>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</si>
  <si>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</si>
  <si>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</si>
  <si>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</si>
  <si>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</si>
  <si>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</si>
  <si>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</si>
  <si>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</si>
  <si>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</si>
  <si>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</si>
  <si>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</si>
  <si>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</si>
  <si>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</si>
  <si>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</si>
  <si>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</si>
  <si>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</si>
  <si>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</si>
  <si>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</si>
  <si>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</si>
  <si>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</si>
  <si>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</si>
  <si>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</si>
  <si>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</si>
  <si>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</si>
  <si>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</si>
  <si>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</si>
  <si>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</si>
  <si>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</si>
  <si>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</si>
  <si>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</si>
  <si>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</si>
  <si>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</si>
  <si>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</si>
  <si>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</si>
  <si>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</si>
  <si>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</si>
  <si>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</si>
  <si>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</si>
  <si>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</si>
  <si>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</si>
  <si>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</si>
  <si>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</si>
  <si>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</si>
  <si>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</si>
  <si>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</si>
  <si>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</si>
  <si>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</si>
  <si>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</si>
  <si>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</si>
  <si>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</si>
  <si>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</si>
  <si>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</si>
  <si>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</si>
  <si>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</si>
  <si>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</si>
  <si>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</si>
  <si>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</si>
  <si>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</si>
  <si>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</si>
  <si>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</si>
  <si>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</si>
  <si>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</si>
  <si>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</si>
  <si>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</si>
  <si>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</si>
  <si>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</si>
  <si>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</si>
  <si>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</si>
  <si>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</si>
  <si>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</si>
  <si>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</si>
  <si>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</si>
  <si>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</si>
  <si>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</si>
  <si>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</si>
  <si>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</si>
  <si>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</si>
  <si>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</si>
  <si>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</si>
  <si>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</si>
  <si>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</si>
  <si>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</si>
  <si>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</si>
  <si>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</si>
  <si>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</si>
  <si>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</si>
  <si>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</si>
  <si>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</si>
  <si>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</si>
  <si>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</si>
  <si>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</si>
  <si>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</si>
  <si>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</si>
  <si>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</si>
  <si>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</si>
  <si>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</si>
  <si>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</si>
  <si>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</si>
  <si>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</si>
  <si>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</si>
  <si>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</si>
  <si>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</si>
  <si>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</si>
  <si>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</si>
  <si>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</si>
  <si>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</si>
  <si>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</si>
  <si>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</si>
  <si>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</si>
  <si>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</si>
  <si>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</si>
  <si>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</si>
  <si>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</si>
  <si>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</si>
  <si>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</si>
  <si>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</si>
  <si>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</si>
  <si>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</si>
  <si>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</si>
  <si>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</si>
  <si>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</si>
  <si>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</si>
  <si>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</si>
  <si>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</si>
  <si>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</si>
  <si>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</si>
  <si>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</si>
  <si>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</si>
  <si>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</si>
  <si>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</si>
  <si>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</si>
  <si>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</si>
  <si>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</si>
  <si>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</si>
  <si>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</si>
  <si>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</si>
  <si>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</si>
  <si>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</si>
  <si>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</si>
  <si>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</si>
  <si>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</si>
  <si>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</si>
  <si>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</si>
  <si>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</si>
  <si>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</si>
  <si>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</si>
  <si>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</si>
  <si>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</si>
  <si>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</si>
  <si>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</si>
  <si>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</si>
  <si>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</si>
  <si>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</si>
  <si>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</si>
  <si>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</si>
  <si>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</si>
  <si>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</si>
  <si>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</si>
  <si>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</si>
  <si>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</si>
  <si>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</si>
  <si>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</si>
  <si>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</si>
  <si>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</si>
  <si>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</si>
  <si>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</si>
  <si>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</si>
  <si>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</si>
  <si>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</si>
  <si>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</si>
  <si>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</si>
  <si>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</si>
  <si>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</si>
  <si>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</si>
  <si>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</si>
  <si>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</si>
  <si>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</si>
  <si>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</si>
  <si>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</si>
  <si>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</si>
  <si>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</si>
  <si>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</si>
  <si>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</si>
  <si>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</si>
  <si>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</si>
  <si>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</si>
  <si>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</si>
  <si>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</si>
  <si>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</si>
  <si>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</si>
  <si>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</si>
  <si>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</si>
  <si>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</si>
  <si>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</si>
  <si>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</si>
  <si>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</si>
  <si>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</si>
  <si>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</si>
  <si>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</si>
  <si>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</si>
  <si>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</si>
  <si>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</si>
  <si>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</si>
  <si>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</si>
  <si>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</si>
  <si>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</si>
  <si>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</si>
  <si>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</si>
  <si>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</si>
  <si>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</si>
  <si>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</si>
  <si>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</si>
  <si>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</si>
  <si>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</si>
  <si>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</si>
  <si>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</si>
  <si>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</si>
  <si>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</si>
  <si>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</si>
  <si>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</si>
  <si>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</si>
  <si>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</si>
  <si>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</si>
  <si>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</si>
  <si>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</si>
  <si>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</si>
  <si>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</si>
  <si>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</si>
  <si>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</si>
  <si>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</si>
  <si>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</si>
  <si>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</si>
  <si>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</si>
  <si>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</si>
  <si>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</si>
  <si>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</si>
  <si>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</si>
  <si>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</si>
  <si>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</si>
  <si>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</si>
  <si>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</si>
  <si>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</si>
  <si>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</si>
  <si>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</si>
  <si>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</si>
  <si>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</si>
  <si>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</si>
  <si>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</si>
  <si>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</si>
  <si>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</si>
  <si>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</si>
  <si>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</si>
  <si>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</si>
  <si>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</si>
  <si>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</si>
  <si>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</si>
  <si>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</si>
  <si>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</si>
  <si>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</si>
  <si>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</si>
  <si>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</si>
  <si>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</si>
  <si>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</si>
  <si>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</si>
  <si>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</si>
  <si>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</si>
  <si>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</si>
  <si>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</si>
  <si>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</si>
  <si>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</si>
  <si>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</si>
  <si>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</si>
  <si>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</si>
  <si>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</si>
  <si>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</si>
  <si>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</si>
  <si>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</si>
  <si>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</si>
  <si>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</si>
  <si>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</si>
  <si>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</si>
  <si>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</si>
  <si>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</si>
  <si>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</si>
  <si>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</si>
  <si>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</si>
  <si>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</si>
  <si>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</si>
  <si>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</si>
  <si>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</si>
  <si>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</si>
  <si>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</si>
  <si>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</si>
  <si>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</si>
  <si>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</si>
  <si>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</si>
  <si>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</si>
  <si>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</si>
  <si>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</si>
  <si>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</si>
  <si>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</si>
  <si>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</si>
  <si>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</si>
  <si>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</si>
  <si>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</si>
  <si>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</si>
  <si>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</si>
  <si>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</si>
  <si>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</si>
  <si>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</si>
  <si>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</si>
  <si>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</si>
  <si>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</si>
  <si>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</si>
  <si>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</si>
  <si>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</si>
  <si>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</si>
  <si>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</si>
  <si>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</si>
  <si>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</si>
  <si>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</si>
  <si>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</si>
  <si>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</si>
  <si>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</si>
  <si>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</si>
  <si>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</si>
  <si>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</si>
  <si>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</si>
  <si>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</si>
  <si>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</si>
  <si>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</si>
  <si>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</si>
  <si>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</si>
  <si>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</si>
  <si>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</si>
  <si>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</si>
  <si>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</si>
  <si>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</si>
  <si>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</si>
  <si>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</si>
  <si>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</si>
  <si>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</si>
  <si>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</si>
  <si>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</si>
  <si>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</si>
  <si>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</si>
  <si>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</si>
  <si>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</si>
  <si>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</si>
  <si>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</si>
  <si>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</si>
  <si>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</si>
  <si>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</si>
  <si>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</si>
  <si>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</si>
  <si>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</si>
  <si>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</si>
  <si>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</si>
  <si>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</si>
  <si>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</si>
  <si>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</si>
  <si>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</si>
  <si>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</si>
  <si>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</si>
  <si>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</si>
  <si>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</si>
  <si>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</si>
  <si>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</si>
  <si>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</si>
  <si>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</si>
  <si>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</si>
  <si>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</si>
  <si>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</si>
  <si>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</si>
  <si>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</si>
  <si>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</si>
  <si>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</si>
  <si>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</si>
  <si>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</si>
  <si>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</si>
  <si>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</si>
  <si>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</si>
  <si>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</si>
  <si>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</si>
  <si>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</si>
  <si>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</si>
  <si>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</si>
  <si>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</si>
  <si>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</si>
  <si>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</si>
  <si>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</si>
  <si>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</si>
  <si>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</si>
  <si>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</si>
  <si>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</si>
  <si>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</si>
  <si>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</si>
  <si>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</si>
  <si>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</si>
  <si>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</si>
  <si>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</si>
  <si>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</si>
  <si>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</si>
  <si>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</si>
  <si>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</si>
  <si>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</si>
  <si>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</si>
  <si>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</si>
  <si>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</si>
  <si>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</si>
  <si>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</si>
  <si>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</si>
  <si>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</si>
  <si>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</si>
  <si>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</si>
  <si>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</si>
  <si>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</si>
  <si>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</si>
  <si>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</si>
  <si>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</si>
  <si>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</si>
  <si>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</si>
  <si>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</si>
  <si>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</si>
  <si>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</si>
  <si>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</si>
  <si>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</si>
  <si>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</si>
  <si>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</si>
  <si>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</si>
  <si>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</si>
  <si>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</si>
  <si>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</si>
  <si>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</si>
  <si>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</si>
  <si>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</si>
  <si>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</si>
  <si>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</si>
  <si>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</si>
  <si>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</si>
  <si>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</si>
  <si>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</si>
  <si>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</si>
  <si>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</si>
  <si>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</si>
  <si>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</si>
  <si>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</si>
  <si>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</si>
  <si>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</si>
  <si>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</si>
  <si>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</si>
  <si>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</si>
  <si>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</si>
  <si>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</si>
  <si>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</si>
  <si>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</si>
  <si>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</si>
  <si>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</si>
  <si>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</si>
  <si>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</si>
  <si>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</si>
  <si>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</si>
  <si>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</si>
  <si>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</si>
  <si>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</si>
  <si>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</si>
  <si>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</si>
  <si>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</si>
  <si>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</si>
  <si>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</si>
  <si>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</si>
  <si>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</si>
  <si>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</si>
  <si>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</si>
  <si>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</si>
  <si>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</si>
  <si>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</si>
  <si>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</si>
  <si>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</si>
  <si>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</si>
  <si>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</si>
  <si>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</si>
  <si>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</si>
  <si>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</si>
  <si>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</si>
  <si>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</si>
  <si>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</si>
  <si>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</si>
  <si>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</si>
  <si>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</si>
  <si>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</si>
  <si>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</si>
  <si>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</si>
  <si>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</si>
  <si>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</si>
  <si>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</si>
  <si>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</si>
  <si>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</si>
  <si>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</si>
  <si>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</si>
  <si>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</si>
  <si>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</si>
  <si>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</si>
  <si>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</si>
  <si>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</si>
  <si>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</si>
  <si>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</si>
  <si>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</si>
  <si>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</si>
  <si>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</si>
  <si>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</si>
  <si>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</si>
  <si>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</si>
  <si>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</si>
  <si>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</si>
  <si>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</si>
  <si>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</si>
  <si>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</si>
  <si>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</si>
  <si>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</si>
  <si>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</si>
  <si>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</si>
  <si>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</si>
  <si>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</si>
  <si>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</si>
  <si>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</si>
  <si>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</si>
  <si>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</si>
  <si>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</si>
  <si>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</si>
  <si>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</si>
  <si>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</si>
  <si>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</si>
  <si>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</si>
  <si>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</si>
  <si>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</si>
  <si>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</si>
  <si>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</si>
  <si>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</si>
  <si>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</si>
  <si>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</si>
  <si>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</si>
  <si>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</si>
  <si>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</si>
  <si>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</si>
  <si>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</si>
  <si>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</si>
  <si>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</si>
  <si>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</si>
  <si>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</si>
  <si>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</si>
  <si>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</si>
  <si>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</si>
  <si>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</si>
  <si>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</si>
  <si>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</si>
  <si>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</si>
  <si>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</si>
  <si>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</si>
  <si>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</si>
  <si>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</si>
  <si>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</si>
  <si>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</si>
  <si>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</si>
  <si>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</si>
  <si>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</si>
  <si>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</si>
  <si>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</si>
  <si>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</si>
  <si>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</si>
  <si>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</si>
  <si>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</si>
  <si>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</si>
  <si>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</si>
  <si>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</si>
  <si>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</si>
  <si>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</si>
  <si>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</si>
  <si>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</si>
  <si>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</si>
  <si>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</si>
  <si>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</si>
  <si>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</si>
  <si>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</si>
  <si>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</si>
  <si>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</si>
  <si>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</si>
  <si>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</si>
  <si>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</si>
  <si>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</si>
  <si>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</si>
  <si>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</si>
  <si>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</si>
  <si>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</si>
  <si>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</si>
  <si>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</si>
  <si>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</si>
  <si>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</si>
  <si>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</si>
  <si>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</si>
  <si>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</si>
  <si>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</si>
  <si>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</si>
  <si>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</si>
  <si>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</si>
  <si>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</si>
  <si>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</si>
  <si>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</si>
  <si>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</si>
  <si>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</si>
  <si>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</si>
  <si>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</si>
  <si>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</si>
  <si>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</si>
  <si>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</si>
  <si>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</si>
  <si>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</si>
  <si>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</si>
  <si>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</si>
  <si>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</si>
  <si>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</si>
  <si>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</si>
  <si>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</si>
  <si>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</si>
  <si>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</si>
  <si>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</si>
  <si>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</si>
  <si>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</si>
  <si>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</si>
  <si>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</si>
  <si>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</si>
  <si>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</si>
  <si>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</si>
  <si>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</si>
  <si>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</si>
  <si>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</si>
  <si>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</si>
  <si>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</si>
  <si>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</si>
  <si>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</si>
  <si>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</si>
  <si>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</si>
  <si>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</si>
  <si>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</si>
  <si>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</si>
  <si>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</si>
  <si>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</si>
  <si>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</si>
  <si>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</si>
  <si>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</si>
  <si>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</si>
  <si>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</si>
  <si>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</si>
  <si>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</si>
  <si>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</si>
  <si>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</si>
  <si>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</si>
  <si>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</si>
  <si>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</si>
  <si>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</si>
  <si>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</si>
  <si>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</si>
  <si>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</si>
  <si>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</si>
  <si>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</si>
  <si>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</si>
  <si>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</si>
  <si>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</si>
  <si>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</si>
  <si>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</si>
  <si>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</si>
  <si>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</si>
  <si>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</si>
  <si>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</si>
  <si>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</si>
  <si>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</si>
  <si>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</si>
  <si>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</si>
  <si>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</si>
  <si>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</si>
  <si>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</si>
  <si>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</si>
  <si>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</si>
  <si>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</si>
  <si>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</si>
  <si>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</si>
  <si>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</si>
  <si>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</si>
  <si>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</si>
  <si>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</si>
  <si>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</si>
  <si>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</si>
  <si>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</si>
  <si>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</si>
  <si>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</si>
  <si>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</si>
  <si>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</si>
  <si>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</si>
  <si>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</si>
  <si>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</si>
  <si>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</si>
  <si>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</si>
  <si>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</si>
  <si>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</si>
  <si>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</si>
  <si>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</si>
  <si>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</si>
  <si>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</si>
  <si>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</si>
  <si>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</si>
  <si>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</si>
  <si>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</si>
  <si>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</si>
  <si>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</si>
  <si>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</si>
  <si>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</si>
  <si>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</si>
  <si>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</si>
  <si>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</si>
  <si>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</si>
  <si>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</si>
  <si>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</si>
  <si>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</si>
  <si>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</si>
  <si>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</si>
  <si>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</si>
  <si>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</si>
  <si>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</si>
  <si>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</si>
  <si>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</si>
  <si>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</si>
  <si>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</si>
  <si>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</si>
  <si>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</si>
  <si>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</si>
  <si>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</si>
  <si>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</si>
  <si>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</si>
  <si>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</si>
  <si>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</si>
  <si>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</si>
  <si>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</si>
  <si>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</si>
  <si>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</si>
  <si>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</si>
  <si>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</si>
  <si>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</si>
  <si>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</si>
  <si>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</si>
  <si>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</si>
  <si>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</si>
  <si>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</si>
  <si>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</si>
  <si>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</si>
  <si>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</si>
  <si>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</si>
  <si>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</si>
  <si>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</si>
  <si>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</si>
  <si>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</si>
  <si>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</si>
  <si>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</si>
  <si>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</si>
  <si>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</si>
  <si>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</si>
  <si>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</si>
  <si>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</si>
  <si>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</si>
  <si>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</si>
  <si>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</si>
  <si>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</si>
  <si>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</si>
  <si>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</si>
  <si>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</si>
  <si>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</si>
  <si>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</si>
  <si>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</si>
  <si>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</si>
  <si>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</si>
  <si>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</si>
  <si>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</si>
  <si>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</si>
  <si>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</si>
  <si>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</si>
  <si>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</si>
  <si>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</si>
  <si>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</si>
  <si>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</si>
  <si>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</si>
  <si>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</si>
  <si>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</si>
  <si>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</si>
  <si>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</si>
  <si>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</si>
  <si>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</si>
  <si>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</si>
  <si>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</si>
  <si>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</si>
  <si>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</si>
  <si>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</si>
  <si>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</si>
  <si>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</si>
  <si>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</si>
  <si>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</si>
  <si>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</si>
  <si>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</si>
  <si>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</si>
  <si>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</si>
  <si>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</si>
  <si>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</si>
  <si>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</si>
  <si>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</si>
  <si>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</si>
  <si>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</si>
  <si>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</si>
  <si>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</si>
  <si>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</si>
  <si>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</si>
  <si>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</si>
  <si>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</si>
  <si>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</si>
  <si>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</si>
  <si>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</si>
  <si>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</si>
  <si>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</si>
  <si>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</si>
  <si>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</si>
  <si>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</si>
  <si>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</si>
  <si>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</si>
  <si>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</si>
  <si>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</si>
  <si>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</si>
  <si>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</si>
  <si>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</si>
  <si>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</si>
  <si>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</si>
  <si>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</si>
  <si>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</si>
  <si>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</si>
  <si>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</si>
  <si>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</si>
  <si>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</si>
  <si>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</si>
  <si>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</si>
  <si>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</si>
  <si>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</si>
  <si>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</si>
  <si>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</si>
  <si>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</si>
  <si>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</si>
  <si>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</si>
  <si>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</si>
  <si>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</si>
  <si>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</si>
  <si>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</si>
  <si>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</si>
  <si>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</si>
  <si>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</si>
  <si>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</si>
  <si>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</si>
  <si>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</si>
  <si>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</si>
  <si>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</si>
  <si>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</si>
  <si>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</si>
  <si>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</si>
  <si>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</si>
  <si>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</si>
  <si>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</si>
  <si>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</si>
  <si>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</si>
  <si>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</si>
  <si>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</si>
  <si>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</si>
  <si>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</si>
  <si>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</si>
  <si>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</si>
  <si>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</si>
  <si>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</si>
  <si>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</si>
  <si>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</si>
  <si>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</si>
  <si>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</si>
  <si>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</si>
  <si>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</si>
  <si>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</si>
  <si>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</si>
  <si>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</si>
  <si>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</si>
  <si>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</si>
  <si>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</si>
  <si>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</si>
  <si>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</si>
  <si>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</si>
  <si>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</si>
  <si>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</si>
  <si>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</si>
  <si>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</si>
  <si>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</si>
  <si>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</si>
  <si>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</si>
  <si>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</si>
  <si>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</si>
  <si>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</si>
  <si>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</si>
  <si>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</si>
  <si>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</si>
  <si>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</si>
  <si>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</si>
  <si>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</si>
  <si>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</si>
  <si>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</si>
  <si>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</si>
  <si>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</si>
  <si>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</si>
  <si>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</si>
  <si>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</si>
  <si>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</si>
  <si>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</si>
  <si>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</si>
  <si>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</si>
  <si>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</si>
  <si>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</si>
  <si>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</si>
  <si>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</si>
  <si>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</si>
  <si>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</si>
  <si>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</si>
  <si>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</si>
  <si>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</si>
  <si>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</si>
  <si>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</si>
  <si>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</si>
  <si>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</si>
  <si>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</si>
  <si>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</si>
  <si>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</si>
  <si>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</si>
  <si>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</si>
  <si>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</si>
  <si>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</si>
  <si>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</si>
  <si>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</si>
  <si>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</si>
  <si>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</si>
  <si>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</si>
  <si>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</si>
  <si>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</si>
  <si>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</si>
  <si>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</si>
  <si>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</si>
  <si>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</si>
  <si>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</si>
  <si>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</si>
  <si>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</si>
  <si>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</si>
  <si>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</si>
  <si>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</si>
  <si>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</si>
  <si>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</si>
  <si>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</si>
  <si>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</si>
  <si>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</si>
  <si>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</si>
  <si>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</si>
  <si>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</si>
  <si>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</si>
  <si>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</si>
  <si>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</si>
  <si>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</si>
  <si>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</si>
  <si>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</si>
  <si>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</si>
  <si>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</si>
  <si>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</si>
  <si>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</si>
  <si>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</si>
  <si>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</si>
  <si>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</si>
  <si>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</si>
  <si>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</si>
  <si>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</si>
  <si>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</si>
  <si>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</si>
  <si>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</si>
  <si>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</si>
  <si>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</si>
  <si>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</si>
  <si>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</si>
  <si>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</si>
  <si>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</si>
  <si>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</si>
  <si>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</si>
  <si>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</si>
  <si>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</si>
  <si>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</si>
  <si>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</si>
  <si>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</si>
  <si>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</si>
  <si>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</si>
  <si>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</si>
  <si>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</si>
  <si>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</si>
  <si>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</si>
  <si>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</si>
  <si>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</si>
  <si>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</si>
  <si>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</si>
  <si>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</si>
  <si>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</si>
  <si>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</si>
  <si>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</si>
  <si>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</si>
  <si>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</si>
  <si>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</si>
  <si>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</si>
  <si>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</si>
  <si>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</si>
  <si>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</si>
  <si>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</si>
  <si>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</si>
  <si>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</si>
  <si>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</si>
  <si>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</si>
  <si>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</si>
  <si>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</si>
  <si>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</si>
  <si>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</si>
  <si>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</si>
  <si>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</si>
  <si>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</si>
  <si>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</si>
  <si>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</si>
  <si>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</si>
  <si>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</si>
  <si>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</si>
  <si>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</si>
  <si>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</si>
  <si>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</si>
  <si>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</si>
  <si>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</si>
  <si>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</si>
  <si>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</si>
  <si>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</si>
  <si>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</si>
  <si>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</si>
  <si>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</si>
  <si>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</si>
  <si>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</si>
  <si>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</si>
  <si>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</si>
  <si>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</si>
  <si>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</si>
  <si>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</si>
  <si>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</si>
  <si>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</si>
  <si>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</si>
  <si>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</si>
  <si>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</si>
  <si>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</si>
  <si>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</si>
  <si>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</si>
  <si>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</si>
  <si>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</si>
  <si>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</si>
  <si>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</si>
  <si>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</si>
  <si>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</si>
  <si>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</si>
  <si>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</si>
  <si>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</si>
  <si>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</si>
  <si>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</si>
  <si>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</si>
  <si>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</si>
  <si>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</si>
  <si>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</si>
  <si>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</si>
  <si>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</si>
  <si>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</si>
  <si>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</si>
  <si>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</si>
  <si>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</si>
  <si>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</si>
  <si>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</si>
  <si>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</si>
  <si>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</si>
  <si>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</si>
  <si>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</si>
  <si>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</si>
  <si>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</si>
  <si>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</si>
  <si>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</si>
  <si>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</si>
  <si>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</si>
  <si>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</si>
  <si>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</si>
  <si>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</si>
  <si>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</si>
  <si>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</si>
  <si>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</si>
  <si>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</si>
  <si>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</si>
  <si>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</si>
  <si>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</si>
  <si>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</si>
  <si>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</si>
  <si>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</si>
  <si>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</si>
  <si>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</si>
  <si>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</si>
  <si>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</si>
  <si>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</si>
  <si>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</si>
  <si>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</si>
  <si>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</si>
  <si>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</si>
  <si>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</si>
  <si>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</si>
  <si>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</si>
  <si>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</si>
  <si>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</si>
  <si>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</si>
  <si>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</si>
  <si>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</si>
  <si>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</si>
  <si>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</si>
  <si>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</si>
  <si>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</si>
  <si>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</si>
  <si>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</si>
  <si>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</si>
  <si>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</si>
  <si>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</si>
  <si>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</si>
  <si>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</si>
  <si>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</si>
  <si>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</si>
  <si>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</si>
  <si>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</si>
  <si>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</si>
  <si>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</si>
  <si>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</si>
  <si>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</si>
  <si>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</si>
  <si>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</si>
  <si>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</si>
  <si>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</si>
  <si>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</si>
  <si>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</si>
  <si>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</si>
  <si>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</si>
  <si>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</si>
  <si>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</si>
  <si>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</si>
  <si>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</si>
  <si>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</si>
  <si>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</si>
  <si>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</si>
  <si>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</si>
  <si>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</si>
  <si>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</si>
  <si>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</si>
  <si>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</si>
  <si>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</si>
  <si>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</si>
  <si>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</si>
  <si>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</si>
  <si>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</si>
  <si>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</si>
  <si>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</si>
  <si>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</si>
  <si>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</si>
  <si>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</si>
  <si>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</si>
  <si>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</si>
  <si>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</si>
  <si>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</si>
  <si>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</si>
  <si>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</si>
  <si>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</si>
  <si>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</si>
  <si>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</si>
  <si>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</si>
  <si>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</si>
  <si>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</si>
  <si>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</si>
  <si>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</si>
  <si>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</si>
  <si>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</si>
  <si>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</si>
  <si>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</si>
  <si>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</si>
  <si>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</si>
  <si>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</si>
  <si>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</si>
  <si>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</si>
  <si>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</si>
  <si>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</si>
  <si>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</si>
  <si>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</si>
  <si>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</si>
  <si>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</si>
  <si>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</si>
  <si>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</si>
  <si>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</si>
  <si>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</si>
  <si>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</si>
  <si>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</si>
  <si>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</si>
  <si>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</si>
  <si>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</si>
  <si>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</si>
  <si>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</si>
  <si>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</si>
  <si>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</si>
  <si>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</si>
  <si>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</si>
  <si>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</si>
  <si>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</si>
  <si>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</si>
  <si>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</si>
  <si>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</si>
  <si>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</si>
  <si>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</si>
  <si>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</si>
  <si>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</si>
  <si>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</si>
  <si>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</si>
  <si>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</si>
  <si>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</si>
  <si>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</si>
  <si>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</si>
  <si>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</si>
  <si>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</si>
  <si>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</si>
  <si>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</si>
  <si>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</si>
  <si>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</si>
  <si>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</si>
  <si>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</si>
  <si>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</si>
  <si>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</si>
  <si>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</si>
  <si>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</si>
  <si>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</si>
  <si>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</si>
  <si>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</si>
  <si>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</si>
  <si>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</si>
  <si>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</si>
  <si>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</si>
  <si>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</si>
  <si>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</si>
  <si>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</si>
  <si>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</si>
  <si>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</si>
  <si>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</si>
  <si>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</si>
  <si>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</si>
  <si>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</si>
  <si>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</si>
  <si>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</si>
  <si>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</si>
  <si>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</si>
  <si>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</si>
  <si>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</si>
  <si>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</si>
  <si>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</si>
  <si>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</si>
  <si>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</si>
  <si>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</si>
  <si>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</si>
  <si>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</si>
  <si>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</si>
  <si>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</si>
  <si>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</si>
  <si>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</si>
  <si>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</si>
  <si>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</si>
  <si>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</si>
  <si>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</si>
  <si>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</si>
  <si>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</si>
  <si>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</si>
  <si>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</si>
  <si>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</si>
  <si>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</si>
  <si>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</si>
  <si>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</si>
  <si>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</si>
  <si>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</si>
  <si>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</si>
  <si>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</si>
  <si>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</si>
  <si>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</si>
  <si>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</si>
  <si>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</si>
  <si>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</si>
  <si>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</si>
  <si>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</si>
  <si>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</si>
  <si>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</si>
  <si>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</si>
  <si>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</si>
  <si>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</si>
  <si>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</si>
  <si>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</si>
  <si>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</si>
  <si>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</si>
  <si>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</si>
  <si>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</si>
  <si>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</si>
  <si>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</si>
  <si>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</si>
  <si>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</si>
  <si>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</si>
  <si>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</si>
  <si>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</si>
  <si>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</si>
  <si>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</si>
  <si>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</si>
  <si>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</si>
  <si>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</si>
  <si>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</si>
  <si>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</si>
  <si>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</si>
  <si>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</si>
  <si>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</si>
  <si>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</si>
  <si>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</si>
  <si>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</si>
  <si>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</si>
  <si>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</si>
  <si>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</si>
  <si>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</si>
  <si>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</si>
  <si>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</si>
  <si>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</si>
  <si>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</si>
  <si>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</si>
  <si>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</si>
  <si>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</si>
  <si>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</si>
  <si>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</si>
  <si>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</si>
  <si>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</si>
  <si>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</si>
  <si>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</si>
  <si>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</si>
  <si>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</si>
  <si>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</si>
  <si>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</si>
  <si>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</si>
  <si>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</si>
  <si>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</si>
  <si>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</si>
  <si>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</si>
  <si>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</si>
  <si>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</si>
  <si>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</si>
  <si>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</si>
  <si>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</si>
  <si>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</si>
  <si>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</si>
  <si>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</si>
  <si>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</si>
  <si>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</si>
  <si>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</si>
  <si>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</si>
  <si>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</si>
  <si>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</si>
  <si>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</si>
  <si>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</si>
  <si>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</si>
  <si>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</si>
  <si>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</si>
  <si>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</si>
  <si>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</si>
  <si>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</si>
  <si>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</si>
  <si>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</si>
  <si>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</si>
  <si>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</si>
  <si>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</si>
  <si>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</si>
  <si>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</si>
  <si>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</si>
  <si>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</si>
  <si>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</si>
  <si>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</si>
  <si>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</si>
  <si>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</si>
  <si>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</si>
  <si>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</si>
  <si>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</si>
  <si>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</si>
  <si>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</si>
  <si>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</si>
  <si>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</si>
  <si>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</si>
  <si>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</si>
  <si>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</si>
  <si>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</si>
  <si>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</si>
  <si>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</si>
  <si>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</si>
  <si>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</si>
  <si>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</si>
  <si>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</si>
  <si>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</si>
  <si>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</si>
  <si>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</si>
  <si>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</si>
  <si>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</si>
  <si>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</si>
  <si>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</si>
  <si>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</si>
  <si>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</si>
  <si>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</si>
  <si>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</si>
  <si>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</si>
  <si>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</si>
  <si>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</si>
  <si>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</si>
  <si>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</si>
  <si>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</si>
  <si>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</si>
  <si>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</si>
  <si>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</si>
  <si>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</si>
  <si>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</si>
  <si>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</si>
  <si>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</si>
  <si>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</si>
  <si>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</si>
  <si>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</si>
  <si>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</si>
  <si>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</si>
  <si>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</si>
  <si>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</si>
  <si>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</si>
  <si>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</si>
  <si>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</si>
  <si>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</si>
  <si>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</si>
  <si>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</si>
  <si>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</si>
  <si>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</si>
  <si>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</si>
  <si>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</si>
  <si>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</si>
  <si>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</si>
  <si>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</si>
  <si>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</si>
  <si>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</si>
  <si>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</si>
  <si>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</si>
  <si>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</si>
  <si>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</si>
  <si>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</si>
  <si>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</si>
  <si>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</si>
  <si>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</si>
  <si>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</si>
  <si>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</si>
  <si>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</si>
  <si>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</si>
  <si>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</si>
  <si>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</si>
  <si>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</si>
  <si>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</si>
  <si>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</si>
  <si>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</si>
  <si>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</si>
  <si>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</si>
  <si>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</si>
  <si>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</si>
  <si>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</si>
  <si>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</si>
  <si>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</si>
  <si>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</si>
  <si>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</si>
  <si>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</si>
  <si>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</si>
  <si>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</si>
  <si>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</si>
  <si>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</si>
  <si>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</si>
  <si>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</si>
  <si>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</si>
  <si>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</si>
  <si>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</si>
  <si>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</si>
  <si>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</si>
  <si>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</si>
  <si>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</si>
  <si>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</si>
  <si>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</si>
  <si>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</si>
  <si>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</si>
  <si>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</si>
  <si>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</si>
  <si>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</si>
  <si>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</si>
  <si>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</si>
  <si>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</si>
  <si>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</si>
  <si>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</si>
  <si>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</si>
  <si>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</si>
  <si>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</si>
  <si>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</si>
  <si>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</si>
  <si>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</si>
  <si>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</si>
  <si>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</si>
  <si>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</si>
  <si>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</si>
  <si>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</si>
  <si>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</si>
  <si>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</si>
  <si>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</si>
  <si>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</si>
  <si>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</si>
  <si>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</si>
  <si>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</si>
  <si>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</si>
  <si>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</si>
  <si>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</si>
  <si>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</si>
  <si>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</si>
  <si>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</si>
  <si>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</si>
  <si>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</si>
  <si>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</si>
  <si>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</si>
  <si>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</si>
  <si>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</si>
  <si>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</si>
  <si>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</si>
  <si>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</si>
  <si>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</si>
  <si>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</si>
  <si>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</si>
  <si>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</si>
  <si>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</si>
  <si>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</si>
  <si>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</si>
  <si>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</si>
  <si>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</si>
  <si>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</si>
  <si>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</si>
  <si>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</si>
  <si>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</si>
  <si>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</si>
  <si>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</si>
  <si>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</si>
  <si>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</si>
  <si>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</si>
  <si>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</si>
  <si>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</si>
  <si>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</si>
  <si>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</si>
  <si>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</si>
  <si>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</si>
  <si>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</si>
  <si>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</si>
  <si>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</si>
  <si>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</si>
  <si>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</si>
  <si>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</si>
  <si>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</si>
  <si>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</si>
  <si>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</si>
  <si>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</si>
  <si>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</si>
  <si>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</si>
  <si>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</si>
  <si>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</si>
  <si>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</si>
  <si>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</si>
  <si>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</si>
  <si>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</si>
  <si>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</si>
  <si>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</si>
  <si>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</si>
  <si>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</si>
  <si>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</si>
  <si>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</si>
  <si>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</si>
  <si>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</si>
  <si>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</si>
  <si>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</si>
  <si>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</si>
  <si>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</si>
  <si>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</si>
  <si>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</si>
  <si>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</si>
  <si>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</si>
  <si>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</si>
  <si>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</si>
  <si>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</si>
  <si>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</si>
  <si>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</si>
  <si>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</si>
  <si>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</si>
  <si>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</si>
  <si>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</si>
  <si>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</si>
  <si>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</si>
  <si>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</si>
  <si>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</si>
  <si>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</si>
  <si>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</si>
  <si>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</si>
  <si>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</si>
  <si>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</si>
  <si>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</si>
  <si>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</si>
  <si>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</si>
  <si>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</si>
  <si>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</si>
  <si>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</si>
  <si>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</si>
  <si>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</si>
  <si>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</si>
  <si>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</si>
  <si>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</si>
  <si>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</si>
  <si>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</si>
  <si>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</si>
  <si>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</si>
  <si>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</si>
  <si>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</si>
  <si>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</si>
  <si>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</si>
  <si>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</si>
  <si>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</si>
  <si>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</si>
  <si>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</si>
  <si>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</si>
  <si>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</si>
  <si>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</si>
  <si>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</si>
  <si>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</si>
  <si>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</si>
  <si>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</si>
  <si>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</si>
  <si>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</si>
  <si>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</si>
  <si>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</si>
  <si>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</si>
  <si>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</si>
  <si>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</si>
  <si>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</si>
  <si>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</si>
  <si>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</si>
  <si>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</si>
  <si>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</si>
  <si>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</si>
  <si>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</si>
  <si>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</si>
  <si>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</si>
  <si>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</si>
  <si>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</si>
  <si>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</si>
  <si>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</si>
  <si>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</si>
  <si>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</si>
  <si>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</si>
  <si>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</si>
  <si>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</si>
  <si>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</si>
  <si>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</si>
  <si>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</si>
  <si>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</si>
  <si>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</si>
  <si>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</si>
  <si>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</si>
  <si>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</si>
  <si>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</si>
  <si>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</si>
  <si>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</si>
  <si>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</si>
  <si>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</si>
  <si>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</si>
  <si>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</si>
  <si>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</si>
  <si>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</si>
  <si>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</si>
  <si>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</si>
  <si>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</si>
  <si>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</si>
  <si>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</si>
  <si>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</si>
  <si>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</si>
  <si>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</si>
  <si>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</si>
  <si>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</si>
  <si>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</si>
  <si>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</si>
  <si>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</si>
  <si>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</si>
  <si>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</si>
  <si>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</si>
  <si>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</si>
  <si>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</si>
  <si>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</si>
  <si>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</si>
  <si>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</si>
  <si>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</si>
  <si>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</si>
  <si>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</si>
  <si>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</si>
  <si>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</si>
  <si>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</si>
  <si>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</si>
  <si>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</si>
  <si>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</si>
  <si>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</si>
  <si>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</si>
  <si>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</si>
  <si>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</si>
  <si>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</si>
  <si>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</si>
  <si>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</si>
  <si>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</si>
  <si>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</si>
  <si>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</si>
  <si>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</si>
  <si>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</si>
  <si>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</si>
  <si>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</si>
  <si>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</si>
  <si>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</si>
  <si>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</si>
  <si>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</si>
  <si>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</si>
  <si>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</si>
  <si>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</si>
  <si>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</si>
  <si>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</si>
  <si>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</si>
  <si>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</si>
  <si>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</si>
  <si>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</si>
  <si>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</si>
  <si>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</si>
  <si>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</si>
  <si>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</si>
  <si>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</si>
  <si>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</si>
  <si>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</si>
  <si>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</si>
  <si>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</si>
  <si>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</si>
  <si>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</si>
  <si>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</si>
  <si>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</si>
  <si>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</si>
  <si>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</si>
  <si>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</si>
  <si>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</si>
  <si>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</si>
  <si>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</si>
  <si>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</si>
  <si>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</si>
  <si>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</si>
  <si>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</si>
  <si>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</si>
  <si>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</si>
  <si>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</si>
  <si>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</si>
  <si>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</si>
  <si>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</si>
  <si>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</si>
  <si>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</si>
  <si>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</si>
  <si>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</si>
  <si>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</si>
  <si>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</si>
  <si>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</si>
  <si>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</si>
  <si>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</si>
  <si>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</si>
  <si>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</si>
  <si>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</si>
  <si>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</si>
  <si>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</si>
  <si>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</si>
  <si>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</si>
  <si>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</si>
  <si>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</si>
  <si>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</si>
  <si>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</si>
  <si>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</si>
  <si>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</si>
  <si>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</si>
  <si>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</si>
  <si>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</si>
  <si>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</si>
  <si>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</si>
  <si>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</si>
  <si>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</si>
  <si>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</si>
  <si>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</si>
  <si>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</si>
  <si>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</si>
  <si>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</si>
  <si>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</si>
  <si>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</si>
  <si>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</si>
  <si>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</si>
  <si>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</si>
  <si>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</si>
  <si>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</si>
  <si>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</si>
  <si>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</si>
  <si>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</si>
  <si>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</si>
  <si>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</si>
  <si>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</si>
  <si>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</si>
  <si>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</si>
  <si>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</si>
  <si>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</si>
  <si>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</si>
  <si>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</si>
  <si>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</si>
  <si>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</si>
  <si>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</si>
  <si>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</si>
  <si>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</si>
  <si>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</si>
  <si>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</si>
  <si>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</si>
  <si>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</si>
  <si>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</si>
  <si>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</si>
  <si>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</si>
  <si>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</si>
  <si>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</si>
  <si>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</si>
  <si>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</si>
  <si>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</si>
  <si>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</si>
  <si>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</si>
  <si>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</si>
  <si>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</si>
  <si>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</si>
  <si>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</si>
  <si>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</si>
  <si>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</si>
  <si>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</si>
  <si>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</si>
  <si>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</si>
  <si>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</si>
  <si>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</si>
  <si>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</si>
  <si>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</si>
  <si>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</si>
  <si>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</si>
  <si>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</si>
  <si>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</si>
  <si>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</si>
  <si>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</si>
  <si>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</si>
  <si>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</si>
  <si>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</si>
  <si>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</si>
  <si>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</si>
  <si>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</si>
  <si>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</si>
  <si>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</si>
  <si>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</si>
  <si>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</si>
  <si>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</si>
  <si>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</si>
  <si>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</si>
  <si>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</si>
  <si>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</si>
  <si>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</si>
  <si>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</si>
  <si>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</si>
  <si>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</si>
  <si>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</si>
  <si>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</si>
  <si>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</si>
  <si>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</si>
  <si>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</si>
  <si>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</si>
  <si>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</si>
  <si>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</si>
  <si>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</si>
  <si>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</si>
  <si>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</si>
  <si>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</si>
  <si>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</si>
  <si>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</si>
  <si>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</si>
  <si>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</si>
  <si>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</si>
  <si>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</si>
  <si>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</si>
  <si>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</si>
  <si>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</si>
  <si>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</si>
  <si>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</si>
  <si>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</si>
  <si>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</si>
  <si>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</si>
  <si>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</si>
  <si>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</si>
  <si>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</si>
  <si>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</si>
  <si>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</si>
  <si>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</si>
  <si>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</si>
  <si>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</si>
  <si>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</si>
  <si>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</si>
  <si>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</si>
  <si>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</si>
  <si>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</si>
  <si>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</si>
  <si>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</si>
  <si>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</si>
  <si>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</si>
  <si>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</si>
  <si>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</si>
  <si>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</si>
  <si>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</si>
  <si>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</si>
  <si>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</si>
  <si>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</si>
  <si>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</si>
  <si>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</si>
  <si>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</si>
  <si>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</si>
  <si>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</si>
  <si>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</si>
  <si>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</si>
  <si>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</si>
  <si>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</si>
  <si>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</si>
  <si>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</si>
  <si>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</si>
  <si>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</si>
  <si>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</si>
  <si>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</si>
  <si>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</si>
  <si>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</si>
  <si>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</si>
  <si>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</si>
  <si>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</si>
  <si>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</si>
  <si>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</si>
  <si>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</si>
  <si>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</si>
  <si>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</si>
  <si>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</si>
  <si>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</si>
  <si>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</si>
  <si>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</si>
  <si>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</si>
  <si>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</si>
  <si>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</si>
  <si>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</si>
  <si>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</si>
  <si>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</si>
  <si>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</si>
  <si>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</si>
  <si>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</si>
  <si>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</si>
  <si>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</si>
  <si>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</si>
  <si>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</si>
  <si>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</si>
  <si>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</si>
  <si>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</si>
  <si>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</si>
  <si>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</si>
  <si>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</si>
  <si>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</si>
  <si>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</si>
  <si>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</si>
  <si>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</si>
  <si>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</si>
  <si>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</si>
  <si>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</si>
  <si>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</si>
  <si>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</si>
  <si>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</si>
  <si>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</si>
  <si>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</si>
  <si>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</si>
  <si>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</si>
  <si>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</si>
  <si>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</si>
  <si>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</si>
  <si>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</si>
  <si>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</si>
  <si>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</si>
  <si>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</si>
  <si>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</si>
  <si>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</si>
  <si>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</si>
  <si>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</si>
  <si>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</si>
  <si>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</si>
  <si>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</si>
  <si>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</si>
  <si>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</si>
  <si>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</si>
  <si>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</si>
  <si>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</si>
  <si>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</si>
  <si>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</si>
  <si>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</si>
  <si>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</si>
  <si>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</si>
  <si>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</si>
  <si>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</si>
  <si>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</si>
  <si>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</si>
  <si>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</si>
  <si>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</si>
  <si>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</si>
  <si>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</si>
  <si>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</si>
  <si>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</si>
  <si>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</si>
  <si>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</si>
  <si>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</si>
  <si>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</si>
  <si>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</si>
  <si>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</si>
  <si>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</si>
  <si>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</si>
  <si>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</si>
  <si>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</si>
  <si>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</si>
  <si>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</si>
  <si>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</si>
  <si>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</si>
  <si>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</si>
  <si>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</si>
  <si>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</si>
  <si>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</si>
  <si>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</si>
  <si>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</si>
  <si>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</si>
  <si>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</si>
  <si>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</si>
  <si>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</si>
  <si>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</si>
  <si>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</si>
  <si>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</si>
  <si>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</si>
  <si>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</si>
  <si>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</si>
  <si>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</si>
  <si>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</si>
  <si>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</si>
  <si>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</si>
  <si>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</si>
  <si>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</si>
  <si>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</si>
  <si>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</si>
  <si>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</si>
  <si>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</si>
  <si>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</si>
  <si>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</si>
  <si>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</si>
  <si>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</si>
  <si>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</si>
  <si>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</si>
  <si>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</si>
  <si>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</si>
  <si>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</si>
  <si>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</si>
  <si>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</si>
  <si>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</si>
  <si>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</si>
  <si>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</si>
  <si>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</si>
  <si>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</si>
  <si>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</si>
  <si>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</si>
  <si>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</si>
  <si>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</si>
  <si>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</si>
  <si>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</si>
  <si>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</si>
  <si>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</si>
  <si>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</si>
  <si>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</si>
  <si>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</si>
  <si>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</si>
  <si>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</si>
  <si>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</si>
  <si>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</si>
  <si>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</si>
  <si>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</si>
  <si>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</si>
  <si>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</si>
  <si>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</si>
  <si>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</si>
  <si>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</si>
  <si>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</si>
  <si>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</si>
  <si>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</si>
  <si>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</si>
  <si>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</si>
  <si>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</si>
  <si>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</si>
  <si>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</si>
  <si>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</si>
  <si>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</si>
  <si>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</si>
  <si>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</si>
  <si>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</si>
  <si>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</si>
  <si>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</si>
  <si>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</si>
  <si>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</si>
  <si>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</si>
  <si>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</si>
  <si>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</si>
  <si>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</si>
  <si>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</si>
  <si>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</si>
  <si>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</si>
  <si>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</si>
  <si>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</si>
  <si>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</si>
  <si>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</si>
  <si>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</si>
  <si>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</si>
  <si>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</si>
  <si>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</si>
  <si>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</si>
  <si>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</si>
  <si>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</si>
  <si>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</si>
  <si>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</si>
  <si>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</si>
  <si>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</si>
  <si>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</si>
  <si>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</si>
  <si>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</si>
  <si>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</si>
  <si>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</si>
  <si>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</si>
  <si>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</si>
  <si>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</si>
  <si>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</si>
  <si>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</si>
  <si>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</si>
  <si>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</si>
  <si>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</si>
  <si>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</si>
  <si>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</si>
  <si>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</si>
  <si>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</si>
  <si>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</si>
  <si>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</si>
  <si>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</si>
  <si>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</si>
  <si>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</si>
  <si>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</si>
  <si>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</si>
  <si>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</si>
  <si>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</si>
  <si>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</si>
  <si>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</si>
  <si>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</si>
  <si>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</si>
  <si>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</si>
  <si>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</si>
  <si>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</si>
  <si>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</si>
  <si>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</si>
  <si>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</si>
  <si>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</si>
  <si>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</si>
  <si>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</si>
  <si>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</si>
  <si>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</si>
  <si>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</si>
  <si>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</si>
  <si>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</si>
  <si>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</si>
  <si>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</si>
  <si>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</si>
  <si>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</si>
  <si>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</si>
  <si>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</si>
  <si>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</si>
  <si>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</si>
  <si>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</si>
  <si>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</si>
  <si>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</si>
  <si>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</si>
  <si>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</si>
  <si>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</si>
  <si>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</si>
  <si>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</si>
  <si>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</si>
  <si>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</si>
  <si>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</si>
  <si>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</si>
  <si>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</si>
  <si>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</si>
  <si>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</si>
  <si>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</si>
  <si>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</si>
  <si>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</si>
  <si>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</si>
  <si>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</si>
  <si>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</si>
  <si>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</si>
  <si>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</si>
  <si>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</si>
  <si>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</si>
  <si>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</si>
  <si>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</si>
  <si>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</si>
  <si>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</si>
  <si>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</si>
  <si>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</si>
  <si>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</si>
  <si>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</si>
  <si>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</si>
  <si>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</si>
  <si>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</si>
  <si>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</si>
  <si>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</si>
  <si>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</si>
  <si>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</si>
  <si>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</si>
  <si>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</si>
  <si>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</si>
  <si>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</si>
  <si>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</si>
  <si>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</si>
  <si>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</si>
  <si>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</si>
  <si>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</si>
  <si>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</si>
  <si>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</si>
  <si>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</si>
  <si>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</si>
  <si>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</si>
  <si>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</si>
  <si>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</si>
  <si>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</si>
  <si>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</si>
  <si>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</si>
  <si>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</si>
  <si>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</si>
  <si>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</si>
  <si>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</si>
  <si>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</si>
  <si>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</si>
  <si>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</si>
  <si>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</si>
  <si>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</si>
  <si>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</si>
  <si>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</si>
  <si>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</si>
  <si>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</si>
  <si>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</si>
  <si>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</si>
  <si>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</si>
  <si>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</si>
  <si>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</si>
  <si>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</si>
  <si>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</si>
  <si>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</si>
  <si>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</si>
  <si>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</si>
  <si>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</si>
  <si>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</si>
  <si>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</si>
  <si>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</si>
  <si>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</si>
  <si>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</si>
  <si>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</si>
  <si>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</si>
  <si>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</si>
  <si>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</si>
  <si>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</si>
  <si>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</si>
  <si>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</si>
  <si>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</si>
  <si>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</si>
  <si>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</si>
  <si>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</si>
  <si>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</si>
  <si>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</si>
  <si>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</si>
  <si>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</si>
  <si>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</si>
  <si>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</si>
  <si>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</si>
  <si>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</si>
  <si>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</si>
  <si>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</si>
  <si>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</si>
  <si>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</si>
  <si>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</si>
  <si>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</si>
  <si>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</si>
  <si>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</si>
  <si>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</si>
  <si>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</si>
  <si>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</si>
  <si>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</si>
  <si>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</si>
  <si>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</si>
  <si>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</si>
  <si>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</si>
  <si>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</si>
  <si>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</si>
  <si>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</si>
  <si>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</si>
  <si>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</si>
  <si>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</si>
  <si>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</si>
  <si>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</si>
  <si>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</si>
  <si>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</si>
  <si>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</si>
  <si>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</si>
  <si>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</si>
  <si>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</si>
  <si>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</si>
  <si>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</si>
  <si>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</si>
  <si>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</si>
  <si>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</si>
  <si>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</si>
  <si>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</si>
  <si>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</si>
  <si>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</si>
  <si>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</si>
  <si>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</si>
  <si>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</si>
  <si>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</si>
  <si>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</si>
  <si>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</si>
  <si>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</si>
  <si>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</si>
  <si>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</si>
  <si>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</si>
  <si>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</si>
  <si>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</si>
  <si>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</si>
  <si>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</si>
  <si>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</si>
  <si>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</si>
  <si>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</si>
  <si>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</si>
  <si>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</si>
  <si>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</si>
  <si>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</si>
  <si>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</si>
  <si>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</si>
  <si>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</si>
  <si>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</si>
  <si>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</si>
  <si>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</si>
  <si>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</si>
  <si>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</si>
  <si>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</si>
  <si>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</si>
  <si>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</si>
  <si>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</si>
  <si>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</si>
  <si>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</si>
  <si>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</si>
  <si>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</si>
  <si>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</si>
  <si>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</si>
  <si>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</si>
  <si>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</si>
  <si>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</si>
  <si>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</si>
  <si>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</si>
  <si>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</si>
  <si>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</si>
  <si>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</si>
  <si>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</si>
  <si>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</si>
  <si>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</si>
  <si>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</si>
  <si>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</si>
  <si>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</si>
  <si>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</si>
  <si>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</si>
  <si>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</si>
  <si>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</si>
  <si>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</si>
  <si>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</si>
  <si>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</si>
  <si>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</si>
  <si>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</si>
  <si>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</si>
  <si>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</si>
  <si>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</si>
  <si>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</si>
  <si>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</si>
  <si>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</si>
  <si>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</si>
  <si>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</si>
  <si>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</si>
  <si>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</si>
  <si>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</si>
  <si>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</si>
  <si>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</si>
  <si>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</si>
  <si>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</si>
  <si>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</si>
  <si>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</si>
  <si>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</si>
  <si>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</si>
  <si>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</si>
  <si>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</si>
  <si>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</si>
  <si>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</si>
  <si>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</si>
  <si>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</si>
  <si>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</si>
  <si>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</si>
  <si>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</si>
  <si>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</si>
  <si>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</si>
  <si>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</si>
  <si>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</si>
  <si>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</si>
  <si>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</si>
  <si>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</si>
  <si>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</si>
  <si>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</si>
  <si>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</si>
  <si>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</si>
  <si>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</si>
  <si>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</si>
  <si>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</si>
  <si>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</si>
  <si>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</si>
  <si>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</si>
  <si>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</si>
  <si>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</si>
  <si>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</si>
  <si>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</si>
  <si>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</si>
  <si>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</si>
  <si>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</si>
  <si>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</si>
  <si>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</si>
  <si>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</si>
  <si>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</si>
  <si>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</si>
  <si>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</si>
  <si>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</si>
  <si>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</si>
  <si>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</si>
  <si>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</si>
  <si>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</si>
  <si>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</si>
  <si>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</si>
  <si>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</si>
  <si>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</si>
  <si>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</si>
  <si>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</si>
  <si>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</si>
  <si>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</si>
  <si>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</si>
  <si>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</si>
  <si>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</si>
  <si>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</si>
  <si>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</si>
  <si>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</si>
  <si>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</si>
  <si>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</si>
  <si>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</si>
  <si>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</si>
  <si>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</si>
  <si>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</si>
  <si>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</si>
  <si>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</si>
  <si>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</si>
  <si>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</si>
  <si>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</si>
  <si>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</si>
  <si>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</si>
  <si>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</si>
  <si>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</si>
  <si>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</si>
  <si>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</si>
  <si>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</si>
  <si>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</si>
  <si>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</si>
  <si>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</si>
  <si>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</si>
  <si>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</si>
  <si>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</si>
  <si>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</si>
  <si>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</si>
  <si>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</si>
  <si>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</si>
  <si>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</si>
  <si>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</si>
  <si>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</si>
  <si>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</si>
  <si>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</si>
  <si>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</si>
  <si>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</si>
  <si>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</si>
  <si>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</si>
  <si>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</si>
  <si>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</si>
  <si>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</si>
  <si>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</si>
  <si>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</si>
  <si>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</si>
  <si>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</si>
  <si>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</si>
  <si>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</si>
  <si>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</si>
  <si>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</si>
  <si>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</si>
  <si>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</si>
  <si>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</si>
  <si>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</si>
  <si>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</si>
  <si>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</si>
  <si>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</si>
  <si>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</si>
  <si>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</si>
  <si>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</si>
  <si>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</si>
  <si>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</si>
  <si>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</si>
  <si>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</si>
  <si>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</si>
  <si>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</si>
  <si>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</si>
  <si>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</si>
  <si>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</si>
  <si>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</si>
  <si>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</si>
  <si>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</si>
  <si>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</si>
  <si>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</si>
  <si>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</si>
  <si>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</si>
  <si>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</si>
  <si>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</si>
  <si>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</si>
  <si>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</si>
  <si>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</si>
  <si>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</si>
  <si>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</si>
  <si>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</si>
  <si>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</si>
  <si>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</si>
  <si>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</si>
  <si>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</si>
  <si>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</si>
  <si>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</si>
  <si>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</si>
  <si>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</si>
  <si>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</si>
  <si>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</si>
  <si>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</si>
  <si>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</si>
  <si>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</si>
  <si>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</si>
  <si>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</si>
  <si>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</si>
  <si>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</si>
  <si>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</si>
  <si>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</si>
  <si>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</si>
  <si>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</si>
  <si>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</si>
  <si>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</si>
  <si>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</si>
  <si>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</si>
  <si>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</si>
  <si>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</si>
  <si>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</si>
  <si>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</si>
  <si>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</si>
  <si>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</si>
  <si>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</si>
  <si>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</si>
  <si>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</si>
  <si>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</si>
  <si>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</si>
  <si>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</si>
  <si>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</si>
  <si>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</si>
  <si>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</si>
  <si>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</si>
  <si>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</si>
  <si>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</si>
  <si>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</si>
  <si>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</si>
  <si>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</si>
  <si>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</si>
  <si>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</si>
  <si>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</si>
  <si>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</si>
  <si>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</si>
  <si>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</si>
  <si>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</si>
  <si>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</si>
  <si>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</si>
  <si>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</si>
  <si>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</si>
  <si>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</si>
  <si>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</si>
  <si>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</si>
  <si>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</si>
  <si>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</si>
  <si>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</si>
  <si>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</si>
  <si>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</si>
  <si>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</si>
  <si>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</si>
  <si>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</si>
  <si>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</si>
  <si>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</si>
  <si>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</si>
  <si>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</si>
  <si>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</si>
  <si>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</si>
  <si>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</si>
  <si>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</si>
  <si>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</si>
  <si>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</si>
  <si>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</si>
  <si>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</si>
  <si>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</si>
  <si>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</si>
  <si>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</si>
  <si>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</si>
  <si>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</si>
  <si>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</si>
  <si>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</si>
  <si>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</si>
  <si>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</si>
  <si>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</si>
  <si>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</si>
  <si>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</si>
  <si>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</si>
  <si>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</si>
  <si>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</si>
  <si>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</si>
  <si>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</si>
  <si>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</si>
  <si>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</si>
  <si>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</si>
  <si>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</si>
  <si>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</si>
  <si>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</si>
  <si>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</si>
  <si>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</si>
  <si>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</si>
  <si>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</si>
  <si>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</si>
  <si>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</si>
  <si>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</si>
  <si>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</si>
  <si>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</si>
  <si>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</si>
  <si>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</si>
  <si>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</si>
  <si>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</si>
  <si>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</si>
  <si>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</si>
  <si>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</si>
  <si>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</si>
  <si>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</si>
  <si>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</si>
  <si>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</si>
  <si>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</si>
  <si>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</si>
  <si>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</si>
  <si>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</si>
  <si>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</si>
  <si>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</si>
  <si>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</si>
  <si>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</si>
  <si>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</si>
  <si>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</si>
  <si>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</si>
  <si>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</si>
  <si>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</si>
  <si>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</si>
  <si>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</si>
  <si>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</si>
  <si>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</si>
  <si>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</si>
  <si>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</si>
  <si>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</si>
  <si>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</si>
  <si>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</si>
  <si>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</si>
  <si>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</si>
  <si>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</si>
  <si>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</si>
  <si>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</si>
  <si>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</si>
  <si>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</si>
  <si>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</si>
  <si>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</si>
  <si>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</si>
  <si>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</si>
  <si>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</si>
  <si>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</si>
  <si>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</si>
  <si>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</si>
  <si>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</si>
  <si>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</si>
  <si>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</si>
  <si>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</si>
  <si>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</si>
  <si>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</si>
  <si>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</si>
  <si>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</si>
  <si>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</si>
  <si>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</si>
  <si>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</si>
  <si>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</si>
  <si>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</si>
  <si>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</si>
  <si>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</si>
  <si>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</si>
  <si>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</si>
  <si>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</si>
  <si>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</si>
  <si>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</si>
  <si>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</si>
  <si>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</si>
  <si>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</si>
  <si>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</si>
  <si>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</si>
  <si>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</si>
  <si>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</si>
  <si>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</si>
  <si>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</si>
  <si>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</si>
  <si>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</si>
  <si>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</si>
  <si>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</si>
  <si>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</si>
  <si>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</si>
  <si>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</si>
  <si>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</si>
  <si>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</si>
  <si>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</si>
  <si>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</si>
  <si>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</si>
  <si>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</si>
  <si>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</si>
  <si>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</si>
  <si>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</si>
  <si>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</si>
  <si>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</si>
  <si>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</si>
  <si>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</si>
  <si>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</si>
  <si>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</si>
  <si>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</si>
  <si>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</si>
  <si>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</si>
  <si>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</si>
  <si>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</si>
  <si>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</si>
  <si>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</si>
  <si>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</si>
  <si>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</si>
  <si>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</si>
  <si>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</si>
  <si>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</si>
  <si>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</si>
  <si>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</si>
  <si>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</si>
  <si>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</si>
  <si>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</si>
  <si>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</si>
  <si>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</si>
  <si>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</si>
  <si>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</si>
  <si>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</si>
  <si>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</si>
  <si>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</si>
  <si>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</si>
  <si>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</si>
  <si>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</si>
  <si>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</si>
  <si>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</si>
  <si>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</si>
  <si>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</si>
  <si>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</si>
  <si>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</si>
  <si>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</si>
  <si>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</si>
  <si>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</si>
  <si>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</si>
  <si>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</si>
  <si>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</si>
  <si>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</si>
  <si>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</si>
  <si>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</si>
  <si>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</si>
  <si>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</si>
  <si>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</si>
  <si>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</si>
  <si>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</si>
  <si>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</si>
  <si>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</si>
  <si>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</si>
  <si>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</si>
  <si>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</si>
  <si>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</si>
  <si>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</si>
  <si>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</si>
  <si>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</si>
  <si>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</si>
  <si>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</si>
  <si>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</si>
  <si>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</si>
  <si>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</si>
  <si>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</si>
  <si>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</si>
  <si>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</si>
  <si>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</si>
  <si>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</si>
  <si>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</si>
  <si>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</si>
  <si>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</si>
  <si>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</si>
  <si>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</si>
  <si>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</si>
  <si>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</si>
  <si>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</si>
  <si>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</si>
  <si>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</si>
  <si>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</si>
  <si>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</si>
  <si>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</si>
  <si>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</si>
  <si>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</si>
  <si>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</si>
  <si>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</si>
  <si>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</si>
  <si>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</si>
  <si>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</si>
  <si>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</si>
  <si>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</si>
  <si>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</si>
  <si>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</si>
  <si>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</si>
  <si>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</si>
  <si>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</si>
  <si>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</si>
  <si>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</si>
  <si>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</si>
  <si>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</si>
  <si>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</si>
  <si>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</si>
  <si>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</si>
  <si>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</si>
  <si>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</si>
  <si>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</si>
  <si>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</si>
  <si>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</si>
  <si>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</si>
  <si>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</si>
  <si>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</si>
  <si>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</si>
  <si>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</si>
  <si>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</si>
  <si>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</si>
  <si>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</si>
  <si>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</si>
  <si>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</si>
  <si>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</si>
  <si>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</si>
  <si>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</si>
  <si>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</si>
  <si>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</si>
  <si>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</si>
  <si>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</si>
  <si>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</si>
  <si>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</si>
  <si>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</si>
  <si>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</si>
  <si>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</si>
  <si>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</si>
  <si>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</si>
  <si>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</si>
  <si>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</si>
  <si>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</si>
  <si>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</si>
  <si>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</si>
  <si>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</si>
  <si>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</si>
  <si>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</si>
  <si>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</si>
  <si>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</si>
  <si>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</si>
  <si>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</si>
  <si>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</si>
  <si>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</si>
  <si>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</si>
  <si>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</si>
  <si>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</si>
  <si>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</si>
  <si>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</si>
  <si>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</si>
  <si>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</si>
  <si>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</si>
  <si>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</si>
  <si>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</si>
  <si>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</si>
  <si>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</si>
  <si>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</si>
  <si>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</si>
  <si>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</si>
  <si>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</si>
  <si>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</si>
  <si>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</si>
  <si>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</si>
  <si>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</si>
  <si>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</si>
  <si>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</si>
  <si>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</si>
  <si>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</si>
  <si>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</si>
  <si>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</si>
  <si>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</si>
  <si>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</si>
  <si>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</si>
  <si>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</si>
  <si>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</si>
  <si>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</si>
  <si>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</si>
  <si>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</si>
  <si>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</si>
  <si>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</si>
  <si>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</si>
  <si>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</si>
  <si>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</si>
  <si>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</si>
  <si>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</si>
  <si>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</si>
  <si>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</si>
  <si>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</si>
  <si>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</si>
  <si>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</si>
  <si>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</si>
  <si>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</si>
  <si>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</si>
  <si>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</si>
  <si>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</si>
  <si>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</si>
  <si>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</si>
  <si>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</si>
  <si>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</si>
  <si>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</si>
  <si>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</si>
  <si>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</si>
  <si>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</si>
  <si>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</si>
  <si>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</si>
  <si>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</si>
  <si>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</si>
  <si>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</si>
  <si>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</si>
  <si>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</si>
  <si>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</si>
  <si>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</si>
  <si>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</si>
  <si>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</si>
  <si>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</si>
  <si>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</si>
  <si>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</si>
  <si>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</si>
  <si>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</si>
  <si>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</si>
  <si>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</si>
  <si>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</si>
  <si>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</si>
  <si>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</si>
  <si>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</si>
  <si>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</si>
  <si>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</si>
  <si>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</si>
  <si>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</si>
  <si>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</si>
  <si>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</si>
  <si>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</si>
  <si>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</si>
  <si>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</si>
  <si>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</si>
  <si>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</si>
  <si>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</si>
  <si>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</si>
  <si>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</si>
  <si>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</si>
  <si>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</si>
  <si>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</si>
  <si>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</si>
  <si>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</si>
  <si>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</si>
  <si>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</si>
  <si>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</si>
  <si>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</si>
  <si>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</si>
  <si>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</si>
  <si>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</si>
  <si>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</si>
  <si>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</si>
  <si>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</si>
  <si>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</si>
  <si>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</si>
  <si>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</si>
  <si>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</si>
  <si>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</si>
  <si>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</si>
  <si>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</si>
  <si>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</si>
  <si>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</si>
  <si>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</si>
  <si>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</si>
  <si>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</si>
  <si>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</si>
  <si>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</si>
  <si>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</si>
  <si>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</si>
  <si>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</si>
  <si>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</si>
  <si>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</si>
  <si>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</si>
  <si>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</si>
  <si>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</si>
  <si>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</si>
  <si>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</si>
  <si>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</si>
  <si>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</si>
  <si>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</si>
  <si>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</si>
  <si>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</si>
  <si>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</si>
  <si>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</si>
  <si>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</si>
  <si>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</si>
  <si>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</si>
  <si>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</si>
  <si>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</si>
  <si>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</si>
  <si>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</si>
  <si>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</si>
  <si>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</si>
  <si>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</si>
  <si>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</si>
  <si>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</si>
  <si>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</si>
  <si>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</si>
  <si>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</si>
  <si>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</si>
  <si>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</si>
  <si>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</si>
  <si>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</si>
  <si>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</si>
  <si>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</si>
  <si>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</si>
  <si>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</si>
  <si>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</si>
  <si>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</si>
  <si>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</si>
  <si>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</si>
  <si>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</si>
  <si>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</si>
  <si>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</si>
  <si>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</si>
  <si>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</si>
  <si>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</si>
  <si>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</si>
  <si>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</si>
  <si>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</si>
  <si>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</si>
  <si>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</si>
  <si>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</si>
  <si>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</si>
  <si>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</si>
  <si>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</si>
  <si>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</si>
  <si>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</si>
  <si>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</si>
  <si>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</si>
  <si>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</si>
  <si>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</si>
  <si>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</si>
  <si>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</si>
  <si>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</si>
  <si>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</si>
  <si>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</si>
  <si>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</si>
  <si>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</si>
  <si>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</si>
  <si>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</si>
  <si>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</si>
  <si>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</si>
  <si>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</si>
  <si>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</si>
  <si>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</si>
  <si>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</si>
  <si>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</si>
  <si>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</si>
  <si>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</si>
  <si>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</si>
  <si>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</si>
  <si>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</si>
  <si>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</si>
  <si>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</si>
  <si>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</si>
  <si>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</si>
  <si>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</si>
  <si>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</si>
  <si>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</si>
  <si>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</si>
  <si>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</si>
  <si>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</si>
  <si>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</si>
  <si>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</si>
  <si>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</si>
  <si>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</si>
  <si>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</si>
  <si>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</si>
  <si>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</si>
  <si>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</si>
  <si>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</si>
  <si>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</si>
  <si>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</si>
  <si>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</si>
  <si>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</si>
  <si>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</si>
  <si>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</si>
  <si>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</si>
  <si>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</si>
  <si>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</si>
  <si>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</si>
  <si>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</si>
  <si>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</si>
  <si>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</si>
  <si>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</si>
  <si>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</si>
  <si>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</si>
  <si>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</si>
  <si>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</si>
  <si>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</si>
  <si>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</si>
  <si>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</si>
  <si>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</si>
  <si>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</si>
  <si>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</si>
  <si>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</si>
  <si>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</si>
  <si>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</si>
  <si>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</si>
  <si>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</si>
  <si>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</si>
  <si>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</si>
  <si>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</si>
  <si>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</si>
  <si>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</si>
  <si>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</si>
  <si>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</si>
  <si>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</si>
  <si>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</si>
  <si>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</si>
  <si>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</si>
  <si>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</si>
  <si>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</si>
  <si>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</si>
  <si>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</si>
  <si>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</si>
  <si>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</si>
  <si>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</si>
  <si>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</si>
  <si>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</si>
  <si>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</si>
  <si>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</si>
  <si>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</si>
  <si>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</si>
  <si>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</si>
  <si>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</si>
  <si>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</si>
  <si>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</si>
  <si>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</si>
  <si>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</si>
  <si>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</si>
  <si>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</si>
  <si>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</si>
  <si>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</si>
  <si>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</si>
  <si>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</si>
  <si>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</si>
  <si>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</si>
  <si>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</si>
  <si>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</si>
  <si>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</si>
  <si>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</si>
  <si>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</si>
  <si>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</si>
  <si>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</si>
  <si>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</si>
  <si>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</si>
  <si>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</si>
  <si>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</si>
  <si>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</si>
  <si>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</si>
  <si>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</si>
  <si>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</si>
  <si>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</si>
  <si>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</si>
  <si>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</si>
  <si>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</si>
  <si>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</si>
  <si>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</si>
  <si>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</si>
  <si>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</si>
  <si>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</si>
  <si>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</si>
  <si>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</si>
  <si>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</si>
  <si>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</si>
  <si>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</si>
  <si>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</si>
  <si>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</si>
  <si>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</si>
  <si>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</si>
  <si>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</si>
  <si>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</si>
  <si>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</si>
  <si>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</si>
  <si>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</si>
  <si>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</si>
  <si>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</si>
  <si>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</si>
  <si>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</si>
  <si>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</si>
  <si>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</si>
  <si>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</si>
  <si>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</si>
  <si>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</si>
  <si>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</si>
  <si>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</si>
  <si>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</si>
  <si>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</si>
  <si>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</si>
  <si>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</si>
  <si>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</si>
  <si>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</si>
  <si>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</si>
  <si>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</si>
  <si>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</si>
  <si>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</si>
  <si>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</si>
  <si>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</si>
  <si>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</si>
  <si>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</si>
  <si>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</si>
  <si>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</si>
  <si>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</si>
  <si>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</si>
  <si>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</si>
  <si>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</si>
  <si>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</si>
  <si>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</si>
  <si>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</si>
  <si>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</si>
  <si>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</si>
  <si>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</si>
  <si>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</si>
  <si>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</si>
  <si>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</si>
  <si>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</si>
  <si>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</si>
  <si>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</si>
  <si>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</si>
  <si>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</si>
  <si>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</si>
  <si>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</si>
  <si>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</si>
  <si>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</si>
  <si>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</si>
  <si>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</si>
  <si>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</si>
  <si>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</si>
  <si>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</si>
  <si>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</si>
  <si>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</si>
  <si>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</si>
  <si>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</si>
  <si>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</si>
  <si>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</si>
  <si>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</si>
  <si>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</si>
  <si>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</si>
  <si>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</si>
  <si>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</si>
  <si>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</si>
  <si>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</si>
  <si>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</si>
  <si>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</si>
  <si>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</si>
  <si>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</si>
  <si>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</si>
  <si>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</si>
  <si>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</si>
  <si>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</si>
  <si>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</si>
  <si>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</si>
  <si>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</si>
  <si>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</si>
  <si>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</si>
  <si>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</si>
  <si>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</si>
  <si>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</si>
  <si>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</si>
  <si>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</si>
  <si>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</si>
  <si>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</si>
  <si>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</si>
  <si>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</si>
  <si>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</si>
  <si>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</si>
  <si>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</si>
  <si>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</si>
  <si>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</si>
  <si>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</si>
  <si>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</si>
  <si>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</si>
  <si>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</si>
  <si>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</si>
  <si>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</si>
  <si>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</si>
  <si>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</si>
  <si>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</si>
  <si>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</si>
  <si>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</si>
  <si>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</si>
  <si>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</si>
  <si>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</si>
  <si>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</si>
  <si>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</si>
  <si>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</si>
  <si>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</si>
  <si>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</si>
  <si>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</si>
  <si>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</si>
  <si>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</si>
  <si>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</si>
  <si>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</si>
  <si>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</si>
  <si>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</si>
  <si>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</si>
  <si>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</si>
  <si>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</si>
  <si>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</si>
  <si>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</si>
  <si>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</si>
  <si>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</si>
  <si>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</si>
  <si>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</si>
  <si>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</si>
  <si>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</si>
  <si>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</si>
  <si>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</si>
  <si>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</si>
  <si>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</si>
  <si>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</si>
  <si>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</si>
  <si>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</si>
  <si>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</si>
  <si>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</si>
  <si>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</si>
  <si>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</si>
  <si>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</si>
  <si>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</si>
  <si>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</si>
  <si>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</si>
  <si>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</si>
  <si>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</si>
  <si>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</si>
  <si>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</si>
  <si>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</si>
  <si>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</si>
  <si>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</si>
  <si>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</si>
  <si>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</si>
  <si>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</si>
  <si>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</si>
  <si>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</si>
  <si>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</si>
  <si>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</si>
  <si>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</si>
  <si>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</si>
  <si>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</si>
  <si>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</si>
  <si>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</si>
  <si>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</si>
  <si>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</si>
  <si>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</si>
  <si>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</si>
  <si>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</si>
  <si>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</si>
  <si>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</si>
  <si>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</si>
  <si>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</si>
  <si>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</si>
  <si>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</si>
  <si>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</si>
  <si>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</si>
  <si>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</si>
  <si>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</si>
  <si>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</si>
  <si>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</si>
  <si>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</si>
  <si>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</si>
  <si>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</si>
  <si>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</si>
  <si>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</si>
  <si>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</si>
  <si>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</si>
  <si>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</si>
  <si>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</si>
  <si>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</si>
  <si>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</si>
  <si>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</si>
  <si>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</si>
  <si>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</si>
  <si>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</si>
  <si>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</si>
  <si>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</si>
  <si>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</si>
  <si>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</si>
  <si>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</si>
  <si>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</si>
  <si>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</si>
  <si>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</si>
  <si>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</si>
  <si>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</si>
  <si>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</si>
  <si>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</si>
  <si>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</si>
  <si>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</si>
  <si>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</si>
  <si>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</si>
  <si>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</si>
  <si>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</si>
  <si>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</si>
  <si>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</si>
  <si>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</si>
  <si>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</si>
  <si>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</si>
  <si>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</si>
  <si>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</si>
  <si>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</si>
  <si>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</si>
  <si>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</si>
  <si>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</si>
  <si>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</si>
  <si>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</si>
  <si>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</si>
  <si>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</si>
  <si>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</si>
  <si>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</si>
  <si>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</si>
  <si>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</si>
  <si>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</si>
  <si>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</si>
  <si>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</si>
  <si>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</si>
  <si>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</si>
  <si>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</si>
  <si>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</si>
  <si>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</si>
  <si>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</si>
  <si>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</si>
  <si>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</si>
  <si>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</si>
  <si>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</si>
  <si>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</si>
  <si>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</si>
  <si>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</si>
  <si>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</si>
  <si>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</si>
  <si>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</si>
  <si>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</si>
  <si>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</si>
  <si>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</si>
  <si>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</si>
  <si>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</si>
  <si>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</si>
  <si>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</si>
  <si>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</si>
  <si>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</si>
  <si>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</si>
  <si>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</si>
  <si>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</si>
  <si>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</si>
  <si>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</si>
  <si>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</si>
  <si>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</si>
  <si>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</si>
  <si>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</si>
  <si>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</si>
  <si>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</si>
  <si>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</si>
  <si>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</si>
  <si>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</si>
  <si>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</si>
  <si>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</si>
  <si>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</si>
  <si>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</si>
  <si>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</si>
  <si>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</si>
  <si>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</si>
  <si>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</si>
  <si>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</si>
  <si>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</si>
  <si>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</si>
  <si>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</si>
  <si>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</si>
  <si>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</si>
  <si>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</si>
  <si>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</si>
  <si>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</si>
  <si>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</si>
  <si>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</si>
  <si>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</si>
  <si>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</si>
  <si>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</si>
  <si>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</si>
  <si>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</si>
  <si>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</si>
  <si>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</si>
  <si>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</si>
  <si>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</si>
  <si>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</si>
  <si>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</si>
  <si>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</si>
  <si>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</si>
  <si>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</si>
  <si>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</si>
  <si>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</si>
  <si>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</si>
  <si>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</si>
  <si>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</si>
  <si>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</si>
  <si>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</si>
  <si>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</si>
  <si>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</si>
  <si>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</si>
  <si>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</si>
  <si>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</si>
  <si>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</si>
  <si>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</si>
  <si>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</si>
  <si>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</si>
  <si>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</si>
  <si>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</si>
  <si>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</si>
  <si>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</si>
  <si>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</si>
  <si>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</si>
  <si>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</si>
  <si>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</si>
  <si>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</si>
  <si>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</si>
  <si>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</si>
  <si>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</si>
  <si>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</si>
  <si>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</si>
  <si>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</si>
  <si>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</si>
  <si>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</si>
  <si>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</si>
  <si>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</si>
  <si>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</si>
  <si>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</si>
  <si>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</si>
  <si>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</si>
  <si>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</si>
  <si>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</si>
  <si>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</si>
  <si>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</si>
  <si>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</si>
  <si>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</si>
  <si>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</si>
  <si>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</si>
  <si>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</si>
  <si>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</si>
  <si>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</si>
  <si>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</si>
  <si>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</si>
  <si>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</si>
  <si>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</si>
  <si>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</si>
  <si>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</si>
  <si>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</si>
  <si>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</si>
  <si>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</si>
  <si>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</si>
  <si>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</si>
  <si>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</si>
  <si>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</si>
  <si>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</si>
  <si>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</si>
  <si>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</si>
  <si>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</si>
  <si>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</si>
  <si>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</si>
  <si>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</si>
  <si>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</si>
  <si>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</si>
  <si>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</si>
  <si>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</si>
  <si>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</si>
  <si>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</si>
  <si>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</si>
  <si>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</si>
  <si>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</si>
  <si>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</si>
  <si>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</si>
  <si>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</si>
  <si>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</si>
  <si>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</si>
  <si>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</si>
  <si>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</si>
  <si>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</si>
  <si>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</si>
  <si>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</si>
  <si>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</si>
  <si>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</si>
  <si>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</si>
  <si>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</si>
  <si>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</si>
  <si>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</si>
  <si>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</si>
  <si>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</si>
  <si>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</si>
  <si>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</si>
  <si>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</si>
  <si>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</si>
  <si>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</si>
  <si>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</si>
  <si>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</si>
  <si>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</si>
  <si>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</si>
  <si>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</si>
  <si>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</si>
  <si>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</si>
  <si>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</si>
  <si>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</si>
  <si>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</si>
  <si>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</si>
  <si>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</si>
  <si>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</si>
  <si>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</si>
  <si>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</si>
  <si>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</si>
  <si>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</si>
  <si>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</si>
  <si>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</si>
  <si>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</si>
  <si>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</si>
  <si>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</si>
  <si>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</si>
  <si>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</si>
  <si>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</si>
  <si>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</si>
  <si>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</si>
  <si>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</si>
  <si>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</si>
  <si>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</si>
  <si>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</si>
  <si>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</si>
  <si>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</si>
  <si>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</si>
  <si>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</si>
  <si>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</si>
  <si>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</si>
  <si>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</si>
  <si>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</si>
  <si>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</si>
  <si>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</si>
  <si>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</si>
  <si>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</si>
  <si>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</si>
  <si>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</si>
  <si>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</si>
  <si>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</si>
  <si>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</si>
  <si>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</si>
  <si>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</si>
  <si>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</si>
  <si>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</si>
  <si>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</si>
  <si>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</si>
  <si>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</si>
  <si>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</si>
  <si>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</si>
  <si>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</si>
  <si>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</si>
  <si>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</si>
  <si>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</si>
  <si>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</si>
  <si>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</si>
  <si>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</si>
  <si>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</si>
  <si>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</si>
  <si>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</si>
  <si>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</si>
  <si>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</si>
  <si>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</si>
  <si>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</si>
  <si>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</si>
  <si>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</si>
  <si>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</si>
  <si>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</si>
  <si>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</si>
  <si>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</si>
  <si>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</si>
  <si>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</si>
  <si>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</si>
  <si>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</si>
  <si>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</si>
  <si>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</si>
  <si>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</si>
  <si>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</si>
  <si>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</si>
  <si>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</si>
  <si>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</si>
  <si>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</si>
  <si>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</si>
  <si>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</si>
  <si>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</si>
  <si>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</si>
  <si>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</si>
  <si>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</si>
  <si>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</si>
  <si>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</si>
  <si>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</si>
  <si>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</si>
  <si>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</si>
  <si>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</si>
  <si>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</si>
  <si>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</si>
  <si>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</si>
  <si>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</si>
  <si>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</si>
  <si>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</si>
  <si>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</si>
  <si>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</si>
  <si>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</si>
  <si>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</si>
  <si>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</si>
  <si>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</si>
  <si>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</si>
  <si>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</si>
  <si>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</si>
  <si>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</si>
  <si>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</si>
  <si>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</si>
  <si>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</si>
  <si>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</si>
  <si>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</si>
  <si>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</si>
  <si>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</si>
  <si>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</si>
  <si>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</si>
  <si>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</si>
  <si>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</si>
  <si>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</si>
  <si>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</si>
  <si>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</si>
  <si>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</si>
  <si>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</si>
  <si>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</si>
  <si>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</si>
  <si>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</si>
  <si>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</si>
  <si>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</si>
  <si>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</si>
  <si>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</si>
  <si>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</si>
  <si>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</si>
  <si>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</si>
  <si>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</si>
  <si>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</si>
  <si>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</si>
  <si>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</si>
  <si>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</si>
  <si>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</si>
  <si>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</si>
  <si>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</si>
  <si>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</si>
  <si>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</si>
  <si>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</si>
  <si>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</si>
  <si>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</si>
  <si>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</si>
  <si>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</si>
  <si>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</si>
  <si>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</si>
  <si>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</si>
  <si>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</si>
  <si>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</si>
  <si>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</si>
  <si>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</si>
  <si>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</si>
  <si>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</si>
  <si>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</si>
  <si>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</si>
  <si>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</si>
  <si>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</si>
  <si>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</si>
  <si>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</si>
  <si>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</si>
  <si>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</si>
  <si>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</si>
  <si>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</si>
  <si>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</si>
  <si>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</si>
  <si>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</si>
  <si>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</si>
  <si>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</si>
  <si>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</si>
  <si>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</si>
  <si>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</si>
  <si>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</si>
  <si>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</si>
  <si>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</si>
  <si>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</si>
  <si>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</si>
  <si>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</si>
  <si>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</si>
  <si>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</si>
  <si>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</si>
  <si>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</si>
  <si>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</si>
  <si>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</si>
  <si>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</si>
  <si>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</si>
  <si>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</si>
  <si>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</si>
  <si>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</si>
  <si>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</si>
  <si>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</si>
  <si>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</si>
  <si>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</si>
  <si>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</si>
  <si>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</si>
  <si>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</si>
  <si>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</si>
  <si>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</si>
  <si>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</si>
  <si>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</si>
  <si>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</si>
  <si>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</si>
  <si>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</si>
  <si>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</si>
  <si>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</si>
  <si>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</si>
  <si>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</si>
  <si>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</si>
  <si>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</si>
  <si>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</si>
  <si>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</si>
  <si>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</si>
  <si>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</si>
  <si>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</si>
  <si>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</si>
  <si>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</si>
  <si>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</si>
  <si>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</si>
  <si>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</si>
  <si>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</si>
  <si>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</si>
  <si>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</si>
  <si>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</si>
  <si>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</si>
  <si>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</si>
  <si>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</si>
  <si>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</si>
  <si>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</si>
  <si>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</si>
  <si>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</si>
  <si>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</si>
  <si>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</si>
  <si>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</si>
  <si>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</si>
  <si>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</si>
  <si>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</si>
  <si>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</si>
  <si>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</si>
  <si>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</si>
  <si>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</si>
  <si>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</si>
  <si>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</si>
  <si>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</si>
  <si>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</si>
  <si>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</si>
  <si>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</si>
  <si>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</si>
  <si>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</si>
  <si>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</si>
  <si>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</si>
  <si>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</si>
  <si>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</si>
  <si>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</si>
  <si>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</si>
  <si>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</si>
  <si>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</si>
  <si>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</si>
  <si>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</si>
  <si>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</si>
  <si>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</si>
  <si>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</si>
  <si>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</si>
  <si>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</si>
  <si>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</si>
  <si>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</si>
  <si>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</si>
  <si>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</si>
  <si>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</si>
  <si>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</si>
  <si>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</si>
  <si>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</si>
  <si>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</si>
  <si>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</si>
  <si>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</si>
  <si>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</si>
  <si>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</si>
  <si>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</si>
  <si>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</si>
  <si>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</si>
  <si>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</si>
  <si>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</si>
  <si>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</si>
  <si>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</si>
  <si>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</si>
  <si>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</si>
  <si>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</si>
  <si>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</si>
  <si>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</si>
  <si>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</si>
  <si>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</si>
  <si>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</si>
  <si>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</si>
  <si>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</si>
  <si>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</si>
  <si>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</si>
  <si>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</si>
  <si>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</si>
  <si>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</si>
  <si>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</si>
  <si>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</si>
  <si>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</si>
  <si>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</si>
  <si>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</si>
  <si>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</si>
  <si>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</si>
  <si>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</si>
  <si>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</si>
  <si>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</si>
  <si>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</si>
  <si>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</si>
  <si>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</si>
  <si>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</si>
  <si>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</si>
  <si>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</si>
  <si>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</si>
  <si>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</si>
  <si>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</si>
  <si>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</si>
  <si>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</si>
  <si>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</si>
  <si>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</si>
  <si>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</si>
  <si>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</si>
  <si>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</si>
  <si>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</si>
  <si>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</si>
  <si>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</si>
  <si>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</si>
  <si>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</si>
  <si>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</si>
  <si>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</si>
  <si>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</si>
  <si>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</si>
  <si>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</si>
  <si>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</si>
  <si>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</si>
  <si>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</si>
  <si>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</si>
  <si>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</si>
  <si>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</si>
  <si>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</si>
  <si>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</si>
  <si>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</si>
  <si>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</si>
  <si>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</si>
  <si>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</si>
  <si>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</si>
  <si>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</si>
  <si>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</si>
  <si>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</si>
  <si>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</si>
  <si>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</si>
  <si>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</si>
  <si>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</si>
  <si>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</si>
  <si>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</si>
  <si>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</si>
  <si>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</si>
  <si>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</si>
  <si>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</si>
  <si>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</si>
  <si>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</si>
  <si>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</si>
  <si>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</si>
  <si>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</si>
  <si>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</si>
  <si>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</si>
  <si>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</si>
  <si>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</si>
  <si>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</si>
  <si>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</si>
  <si>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</si>
  <si>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</si>
  <si>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</si>
  <si>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</si>
  <si>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</si>
  <si>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</si>
  <si>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</si>
  <si>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</si>
  <si>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</si>
  <si>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</si>
  <si>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</si>
  <si>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</si>
  <si>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</si>
  <si>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</si>
  <si>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</si>
  <si>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</si>
  <si>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</si>
  <si>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</si>
  <si>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</si>
  <si>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</si>
  <si>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</si>
  <si>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</si>
  <si>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</si>
  <si>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</si>
  <si>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</si>
  <si>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</si>
  <si>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</si>
  <si>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</si>
  <si>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</si>
  <si>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</si>
  <si>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</si>
  <si>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</si>
  <si>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</si>
  <si>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</si>
  <si>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</si>
  <si>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</si>
  <si>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</si>
  <si>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</si>
  <si>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</si>
  <si>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</si>
  <si>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</si>
  <si>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</si>
  <si>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</si>
  <si>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</si>
  <si>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</si>
  <si>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</si>
  <si>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</si>
  <si>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</si>
  <si>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</si>
  <si>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</si>
  <si>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</si>
  <si>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</si>
  <si>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</si>
  <si>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</si>
  <si>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</si>
  <si>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</si>
  <si>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</si>
  <si>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</si>
  <si>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</si>
  <si>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</si>
  <si>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</si>
  <si>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</si>
  <si>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</si>
  <si>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</si>
  <si>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</si>
  <si>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</si>
  <si>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</si>
  <si>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</si>
  <si>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</si>
  <si>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</si>
  <si>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</si>
  <si>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</si>
  <si>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</si>
  <si>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</si>
  <si>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</si>
  <si>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</si>
  <si>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</si>
  <si>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</si>
  <si>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</si>
  <si>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</si>
  <si>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</si>
  <si>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</si>
  <si>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</si>
  <si>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</si>
  <si>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</si>
  <si>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</si>
  <si>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</si>
  <si>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</si>
  <si>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</si>
  <si>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</si>
  <si>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</si>
  <si>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</si>
  <si>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</si>
  <si>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</si>
  <si>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</si>
  <si>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</si>
  <si>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</si>
  <si>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</si>
  <si>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</si>
  <si>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</si>
  <si>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</si>
  <si>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</si>
  <si>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</si>
  <si>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</si>
  <si>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</si>
  <si>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</si>
  <si>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</si>
  <si>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</si>
  <si>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</si>
  <si>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</si>
  <si>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</si>
  <si>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</si>
  <si>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</si>
  <si>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</si>
  <si>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</si>
  <si>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</si>
  <si>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</si>
  <si>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</si>
  <si>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</si>
  <si>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</si>
  <si>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</si>
  <si>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</si>
  <si>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</si>
  <si>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</si>
  <si>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</si>
  <si>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</si>
  <si>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</si>
  <si>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</si>
  <si>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</si>
  <si>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</si>
  <si>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</si>
  <si>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</si>
  <si>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</si>
  <si>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</si>
  <si>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</si>
  <si>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</si>
  <si>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</si>
  <si>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</si>
  <si>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</si>
  <si>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</si>
  <si>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</si>
  <si>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</si>
  <si>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</si>
  <si>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</si>
  <si>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</si>
  <si>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</si>
  <si>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</si>
  <si>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</si>
  <si>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</si>
  <si>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</si>
  <si>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</si>
  <si>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</si>
  <si>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</si>
  <si>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</si>
  <si>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</si>
  <si>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</si>
  <si>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</si>
  <si>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</si>
  <si>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</si>
  <si>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</si>
  <si>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</si>
  <si>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</si>
  <si>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</si>
  <si>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</si>
  <si>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</si>
  <si>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</si>
  <si>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</si>
  <si>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</si>
  <si>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</si>
  <si>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</si>
  <si>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</si>
  <si>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</si>
  <si>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</si>
  <si>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</si>
  <si>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</si>
  <si>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</si>
  <si>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</si>
  <si>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</si>
  <si>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</si>
  <si>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</si>
  <si>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</si>
  <si>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</si>
  <si>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</si>
  <si>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</si>
  <si>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</si>
  <si>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</si>
  <si>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</si>
  <si>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</si>
  <si>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</si>
  <si>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</si>
  <si>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</si>
  <si>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</si>
  <si>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</si>
  <si>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</si>
  <si>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</si>
  <si>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</si>
  <si>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</si>
  <si>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</si>
  <si>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</si>
  <si>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</si>
  <si>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</si>
  <si>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</si>
  <si>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</si>
  <si>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</si>
  <si>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</si>
  <si>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</si>
  <si>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</si>
  <si>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</si>
  <si>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</si>
  <si>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</si>
  <si>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</si>
  <si>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</si>
  <si>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</si>
  <si>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</si>
  <si>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</si>
  <si>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</si>
  <si>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</si>
  <si>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</si>
  <si>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</si>
  <si>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</si>
  <si>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</si>
  <si>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</si>
  <si>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</si>
  <si>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</si>
  <si>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</si>
  <si>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</si>
  <si>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</si>
  <si>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</si>
  <si>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</si>
  <si>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</si>
  <si>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</si>
  <si>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</si>
  <si>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</si>
  <si>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</si>
  <si>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</si>
  <si>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</si>
  <si>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</si>
  <si>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</si>
  <si>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</si>
  <si>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</si>
  <si>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</si>
  <si>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</si>
  <si>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</si>
  <si>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</si>
  <si>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</si>
  <si>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</si>
  <si>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</si>
  <si>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</si>
  <si>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</si>
  <si>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</si>
  <si>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</si>
  <si>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</si>
  <si>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</si>
  <si>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</si>
  <si>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</si>
  <si>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</si>
  <si>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</si>
  <si>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</si>
  <si>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</si>
  <si>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</si>
  <si>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</si>
  <si>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</si>
  <si>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</si>
  <si>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</si>
  <si>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</si>
  <si>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</si>
  <si>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</si>
  <si>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</si>
  <si>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</si>
  <si>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</si>
  <si>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</si>
  <si>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</si>
  <si>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</si>
  <si>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</si>
  <si>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</si>
  <si>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</si>
  <si>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</si>
  <si>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</si>
  <si>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</si>
  <si>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</si>
  <si>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</si>
  <si>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</si>
  <si>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</si>
  <si>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</si>
  <si>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</si>
  <si>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</si>
  <si>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</si>
  <si>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</si>
  <si>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</si>
  <si>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</si>
  <si>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</si>
  <si>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</si>
  <si>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</si>
  <si>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</si>
  <si>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</si>
  <si>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</si>
  <si>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</si>
  <si>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</si>
  <si>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</si>
  <si>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</si>
  <si>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</si>
  <si>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</si>
  <si>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</si>
  <si>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</si>
  <si>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</si>
  <si>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</si>
  <si>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</si>
  <si>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</si>
  <si>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</si>
  <si>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</si>
  <si>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</si>
  <si>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</si>
  <si>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</si>
  <si>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</si>
  <si>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</si>
  <si>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</si>
  <si>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</si>
  <si>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</si>
  <si>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</si>
  <si>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</si>
  <si>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</si>
  <si>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</si>
  <si>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</si>
  <si>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</si>
  <si>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</si>
  <si>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</si>
  <si>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</si>
  <si>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</si>
  <si>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</si>
  <si>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</si>
  <si>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</si>
  <si>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</si>
  <si>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</si>
  <si>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</si>
  <si>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</si>
  <si>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</si>
  <si>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</si>
  <si>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</si>
  <si>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</si>
  <si>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</si>
  <si>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</si>
  <si>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</si>
  <si>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</si>
  <si>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</si>
  <si>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</si>
  <si>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</si>
  <si>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</si>
  <si>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</si>
  <si>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</si>
  <si>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</si>
  <si>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</si>
  <si>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</si>
  <si>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</si>
  <si>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</si>
  <si>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</si>
  <si>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</si>
  <si>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</si>
  <si>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</si>
  <si>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</si>
  <si>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</si>
  <si>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</si>
  <si>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</si>
  <si>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</si>
  <si>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</si>
  <si>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</si>
  <si>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</si>
  <si>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</si>
  <si>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</si>
  <si>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</si>
  <si>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</si>
  <si>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</si>
  <si>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</si>
  <si>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</si>
  <si>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</si>
  <si>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</si>
  <si>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</si>
  <si>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</si>
  <si>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</si>
  <si>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</si>
  <si>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</si>
  <si>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</si>
  <si>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</si>
  <si>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</si>
  <si>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</si>
  <si>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</si>
  <si>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</si>
  <si>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</si>
  <si>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</si>
  <si>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</si>
  <si>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</si>
  <si>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</si>
  <si>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</si>
  <si>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</si>
  <si>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</si>
  <si>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</si>
  <si>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</si>
  <si>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</si>
  <si>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</si>
  <si>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</si>
  <si>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</si>
  <si>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</si>
  <si>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</si>
  <si>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</si>
  <si>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</si>
  <si>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</si>
  <si>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</si>
  <si>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</si>
  <si>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</si>
  <si>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</si>
  <si>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</si>
  <si>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</si>
  <si>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</si>
  <si>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</si>
  <si>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</si>
  <si>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</si>
  <si>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</si>
  <si>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</si>
  <si>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</si>
  <si>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</si>
  <si>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</si>
  <si>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</si>
  <si>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</si>
  <si>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</si>
  <si>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</si>
  <si>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</si>
  <si>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</si>
  <si>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</si>
  <si>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</si>
  <si>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</si>
  <si>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</si>
  <si>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</si>
  <si>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</si>
  <si>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</si>
  <si>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</si>
  <si>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</si>
  <si>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</si>
  <si>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</si>
  <si>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</si>
  <si>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</si>
  <si>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</si>
  <si>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</si>
  <si>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</si>
  <si>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</si>
  <si>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</si>
  <si>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</si>
  <si>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</si>
  <si>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</si>
  <si>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</si>
  <si>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</si>
  <si>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</si>
  <si>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</si>
  <si>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</si>
  <si>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</si>
  <si>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</si>
  <si>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</si>
  <si>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</si>
  <si>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</si>
  <si>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</si>
  <si>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</si>
  <si>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</si>
  <si>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</si>
  <si>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</si>
  <si>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</si>
  <si>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</si>
  <si>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</si>
  <si>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</si>
  <si>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</si>
  <si>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</si>
  <si>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</si>
  <si>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</si>
  <si>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</si>
  <si>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</si>
  <si>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</si>
  <si>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</si>
  <si>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</si>
  <si>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</si>
  <si>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</si>
  <si>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</si>
  <si>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</si>
  <si>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</si>
  <si>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</si>
  <si>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</si>
  <si>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</si>
  <si>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</si>
  <si>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</si>
  <si>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</si>
  <si>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</si>
  <si>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</si>
  <si>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</si>
  <si>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</si>
  <si>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</si>
  <si>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</si>
  <si>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</si>
  <si>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</si>
  <si>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</si>
  <si>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</si>
  <si>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</si>
  <si>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</si>
  <si>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</si>
  <si>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</si>
  <si>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</si>
  <si>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</si>
  <si>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</si>
  <si>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</si>
  <si>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</si>
  <si>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</si>
  <si>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</si>
  <si>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</si>
  <si>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</si>
  <si>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</si>
  <si>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</si>
  <si>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</si>
  <si>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</si>
  <si>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</si>
  <si>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</si>
  <si>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</si>
  <si>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</si>
  <si>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</si>
  <si>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</si>
  <si>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</si>
  <si>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</si>
  <si>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</si>
  <si>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</si>
  <si>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</si>
  <si>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</si>
  <si>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</si>
  <si>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</si>
  <si>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</si>
  <si>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</si>
  <si>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</si>
  <si>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</si>
  <si>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</si>
  <si>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</si>
  <si>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</si>
  <si>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</si>
  <si>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</si>
  <si>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</si>
  <si>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</si>
  <si>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</si>
  <si>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</si>
  <si>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</si>
  <si>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</si>
  <si>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</si>
  <si>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</si>
  <si>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</si>
  <si>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</si>
  <si>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</si>
  <si>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</si>
  <si>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</si>
  <si>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</si>
  <si>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</si>
  <si>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</si>
  <si>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</si>
  <si>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</si>
  <si>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</si>
  <si>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</si>
  <si>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</si>
  <si>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</si>
  <si>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</si>
  <si>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</si>
  <si>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</si>
  <si>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</si>
  <si>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</si>
  <si>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</si>
  <si>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</si>
  <si>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</si>
  <si>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</si>
  <si>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</si>
  <si>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</si>
  <si>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</si>
  <si>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</si>
  <si>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</si>
  <si>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</si>
  <si>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</si>
  <si>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</si>
  <si>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</si>
  <si>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</si>
  <si>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</si>
  <si>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</si>
  <si>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</si>
  <si>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</si>
  <si>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</si>
  <si>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</si>
  <si>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</si>
  <si>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</si>
  <si>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</si>
  <si>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</si>
  <si>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</si>
  <si>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</si>
  <si>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</si>
  <si>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</si>
  <si>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</si>
  <si>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</si>
  <si>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</si>
  <si>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</si>
  <si>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</si>
  <si>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</si>
  <si>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</si>
  <si>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</si>
  <si>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</si>
  <si>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</si>
  <si>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</si>
  <si>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</si>
  <si>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</si>
  <si>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</si>
  <si>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</si>
  <si>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</si>
  <si>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</si>
  <si>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</si>
  <si>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</si>
  <si>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</si>
  <si>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</si>
  <si>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</si>
  <si>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</si>
  <si>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</si>
  <si>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</si>
  <si>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</si>
  <si>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</si>
  <si>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</si>
  <si>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</si>
  <si>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</si>
  <si>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</si>
  <si>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</si>
  <si>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</si>
  <si>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</si>
  <si>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</si>
  <si>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</si>
  <si>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</si>
  <si>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</si>
  <si>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</si>
  <si>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</si>
  <si>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</si>
  <si>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</si>
  <si>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</si>
  <si>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</si>
  <si>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</si>
  <si>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</si>
  <si>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</si>
  <si>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</si>
  <si>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</si>
  <si>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</si>
  <si>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</si>
  <si>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</si>
  <si>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</si>
  <si>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</si>
  <si>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</si>
  <si>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</si>
  <si>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</si>
  <si>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</si>
  <si>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</si>
  <si>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</si>
  <si>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</si>
  <si>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</si>
  <si>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</si>
  <si>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</si>
  <si>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</si>
  <si>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</si>
  <si>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</si>
  <si>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</si>
  <si>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</si>
  <si>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</si>
  <si>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</si>
  <si>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</si>
  <si>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</si>
  <si>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</si>
  <si>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</si>
  <si>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</si>
  <si>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</si>
  <si>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</si>
  <si>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</si>
  <si>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</si>
  <si>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</si>
  <si>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</si>
  <si>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</si>
  <si>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</si>
  <si>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</si>
  <si>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</si>
  <si>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</si>
  <si>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</si>
  <si>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</si>
  <si>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</si>
  <si>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</si>
  <si>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</si>
  <si>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</si>
  <si>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</si>
  <si>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</si>
  <si>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</si>
  <si>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</si>
  <si>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</si>
  <si>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</si>
  <si>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</si>
  <si>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</si>
  <si>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</si>
  <si>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</si>
  <si>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</si>
  <si>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</si>
  <si>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</si>
  <si>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</si>
  <si>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</si>
  <si>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</si>
  <si>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</si>
  <si>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</si>
  <si>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</si>
  <si>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</si>
  <si>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</si>
  <si>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</si>
  <si>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</si>
  <si>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</si>
  <si>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</si>
  <si>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</si>
  <si>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</si>
  <si>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</si>
  <si>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</si>
  <si>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</si>
  <si>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</si>
  <si>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</si>
  <si>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</si>
  <si>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</si>
  <si>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</si>
  <si>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</si>
  <si>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</si>
  <si>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</si>
  <si>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</si>
  <si>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</si>
  <si>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</si>
  <si>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</si>
  <si>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</si>
  <si>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</si>
  <si>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</si>
  <si>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</si>
  <si>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</si>
  <si>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</si>
  <si>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</si>
  <si>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</si>
  <si>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</si>
  <si>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</si>
  <si>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</si>
  <si>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</si>
  <si>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</si>
  <si>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</si>
  <si>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</si>
  <si>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</si>
  <si>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</si>
  <si>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</si>
  <si>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</si>
  <si>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</si>
  <si>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</si>
  <si>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</si>
  <si>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</si>
  <si>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</si>
  <si>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</si>
  <si>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</si>
  <si>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</si>
  <si>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</si>
  <si>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</si>
  <si>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</si>
  <si>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</si>
  <si>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</si>
  <si>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</si>
  <si>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</si>
  <si>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</si>
  <si>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</si>
  <si>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</si>
  <si>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</si>
  <si>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</si>
  <si>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</si>
  <si>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</si>
  <si>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</si>
  <si>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</si>
  <si>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</si>
  <si>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</si>
  <si>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</si>
  <si>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</si>
  <si>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</si>
  <si>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</si>
  <si>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</si>
  <si>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</si>
  <si>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</si>
  <si>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</si>
  <si>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</si>
  <si>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</si>
  <si>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</si>
  <si>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</si>
  <si>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</si>
  <si>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</si>
  <si>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</si>
  <si>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</si>
  <si>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</si>
  <si>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</si>
  <si>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</si>
  <si>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</si>
  <si>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</si>
  <si>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</si>
  <si>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</si>
  <si>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</si>
  <si>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</si>
  <si>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</si>
  <si>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</si>
  <si>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</si>
  <si>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</si>
  <si>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</si>
  <si>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</si>
  <si>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</si>
  <si>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</si>
  <si>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</si>
  <si>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</si>
  <si>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</si>
  <si>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</si>
  <si>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</si>
  <si>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</si>
  <si>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</si>
  <si>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</si>
  <si>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</si>
  <si>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</si>
  <si>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</si>
  <si>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</si>
  <si>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</si>
  <si>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</si>
  <si>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</si>
  <si>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</si>
  <si>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</si>
  <si>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</si>
  <si>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</si>
  <si>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</si>
  <si>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</si>
  <si>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</si>
  <si>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</si>
  <si>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</si>
  <si>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</si>
  <si>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</si>
  <si>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</si>
  <si>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</si>
  <si>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</si>
  <si>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</si>
  <si>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</si>
  <si>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</si>
  <si>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</si>
  <si>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</si>
  <si>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</si>
  <si>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</si>
  <si>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</si>
  <si>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</si>
  <si>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</si>
  <si>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</si>
  <si>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</si>
  <si>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</si>
  <si>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</si>
  <si>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</si>
  <si>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</si>
  <si>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</si>
  <si>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</si>
  <si>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</si>
  <si>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</si>
  <si>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</si>
  <si>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</si>
  <si>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</si>
  <si>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</si>
  <si>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</si>
  <si>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</si>
  <si>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</si>
  <si>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</si>
  <si>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</si>
  <si>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</si>
  <si>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</si>
  <si>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</si>
  <si>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</si>
  <si>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</si>
  <si>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</si>
  <si>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</si>
  <si>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</si>
  <si>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</si>
  <si>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</si>
  <si>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</si>
  <si>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</si>
  <si>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</si>
  <si>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</si>
  <si>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</si>
  <si>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</si>
  <si>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</si>
  <si>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</si>
  <si>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</si>
  <si>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</si>
  <si>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</si>
  <si>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</si>
  <si>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</si>
  <si>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</si>
  <si>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</si>
  <si>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</si>
  <si>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</si>
  <si>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</si>
  <si>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</si>
  <si>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</si>
  <si>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</si>
  <si>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</si>
  <si>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</si>
  <si>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</si>
  <si>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</si>
  <si>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</si>
  <si>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</si>
  <si>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</si>
  <si>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</si>
  <si>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</si>
  <si>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</si>
  <si>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</si>
  <si>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</si>
  <si>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</si>
  <si>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</si>
  <si>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</si>
  <si>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</si>
  <si>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</si>
  <si>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</si>
  <si>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</si>
  <si>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</si>
  <si>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</si>
  <si>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</si>
  <si>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</si>
  <si>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</si>
  <si>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</si>
  <si>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</si>
  <si>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</si>
  <si>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</si>
  <si>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</si>
  <si>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</si>
  <si>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</si>
  <si>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</si>
  <si>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</si>
  <si>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</si>
  <si>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</si>
  <si>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</si>
  <si>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</si>
  <si>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</si>
  <si>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</si>
  <si>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</si>
  <si>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</si>
  <si>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</si>
  <si>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</si>
  <si>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</si>
  <si>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</si>
  <si>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</si>
  <si>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</si>
  <si>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</si>
  <si>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</si>
  <si>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</si>
  <si>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</si>
  <si>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</si>
  <si>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</si>
  <si>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</si>
  <si>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</si>
  <si>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</si>
  <si>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</si>
  <si>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</si>
  <si>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</si>
  <si>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</si>
  <si>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</si>
  <si>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</si>
  <si>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</si>
  <si>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</si>
  <si>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</si>
  <si>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</si>
  <si>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</si>
  <si>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</si>
  <si>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</si>
  <si>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</si>
  <si>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</si>
  <si>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</si>
  <si>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</si>
  <si>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</si>
  <si>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</si>
  <si>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</si>
  <si>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</si>
  <si>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</si>
  <si>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</si>
  <si>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</si>
  <si>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</si>
  <si>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</si>
  <si>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</si>
  <si>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</si>
  <si>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</si>
  <si>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</si>
  <si>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</si>
  <si>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</si>
  <si>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</si>
  <si>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</si>
  <si>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</si>
  <si>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</si>
  <si>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</si>
  <si>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</si>
  <si>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</si>
  <si>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</si>
  <si>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</si>
  <si>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</si>
  <si>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</si>
  <si>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</si>
  <si>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</si>
  <si>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</si>
  <si>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</si>
  <si>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</si>
  <si>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</si>
  <si>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</si>
  <si>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</si>
  <si>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</si>
  <si>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</si>
  <si>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</si>
  <si>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</si>
  <si>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</si>
  <si>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</si>
  <si>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</si>
  <si>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</si>
  <si>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</si>
  <si>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</si>
  <si>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</si>
  <si>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</si>
  <si>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</si>
  <si>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</si>
  <si>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</si>
  <si>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</si>
  <si>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</si>
  <si>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</si>
  <si>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</si>
  <si>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</si>
  <si>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</si>
  <si>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</si>
  <si>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</si>
  <si>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</si>
  <si>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</si>
  <si>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</si>
  <si>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</si>
  <si>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</si>
  <si>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</si>
  <si>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</si>
  <si>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</si>
  <si>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</si>
  <si>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</si>
  <si>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</si>
  <si>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</si>
  <si>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</si>
  <si>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</si>
  <si>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</si>
  <si>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</si>
  <si>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</si>
  <si>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</si>
  <si>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</si>
  <si>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</si>
  <si>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</si>
  <si>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</si>
  <si>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</si>
  <si>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</si>
  <si>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</si>
  <si>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</si>
  <si>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</si>
  <si>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</si>
  <si>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</si>
  <si>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</si>
  <si>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</si>
  <si>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</si>
  <si>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</si>
  <si>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</si>
  <si>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</si>
  <si>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</si>
  <si>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</si>
  <si>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</si>
  <si>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</si>
  <si>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</si>
  <si>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</si>
  <si>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</si>
  <si>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</si>
  <si>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</si>
  <si>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</si>
  <si>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</si>
  <si>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</si>
  <si>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</si>
  <si>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</si>
  <si>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</si>
  <si>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</si>
  <si>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</si>
  <si>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</si>
  <si>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</si>
  <si>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</si>
  <si>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</si>
  <si>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</si>
  <si>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</si>
  <si>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</si>
  <si>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</si>
  <si>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</si>
  <si>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</si>
  <si>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</si>
  <si>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</si>
  <si>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</si>
  <si>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</si>
  <si>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</si>
  <si>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</si>
  <si>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</si>
  <si>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</si>
  <si>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</si>
  <si>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</si>
  <si>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</si>
  <si>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</si>
  <si>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</si>
  <si>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</si>
  <si>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</si>
  <si>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</si>
  <si>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</si>
  <si>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</si>
  <si>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</si>
  <si>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</si>
  <si>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</si>
  <si>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</si>
  <si>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</si>
  <si>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</si>
  <si>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</si>
  <si>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</si>
  <si>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</si>
  <si>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</si>
  <si>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</si>
  <si>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</si>
  <si>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</si>
  <si>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</si>
  <si>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</si>
  <si>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</si>
  <si>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</si>
  <si>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</si>
  <si>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</si>
  <si>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</si>
  <si>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</si>
  <si>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</si>
  <si>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</si>
  <si>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</si>
  <si>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</si>
  <si>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</si>
  <si>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</si>
  <si>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</si>
  <si>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</si>
  <si>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</si>
  <si>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</si>
  <si>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</si>
  <si>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</si>
  <si>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</si>
  <si>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</si>
  <si>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</si>
  <si>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</si>
  <si>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</si>
  <si>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</si>
  <si>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</si>
  <si>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</si>
  <si>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</si>
  <si>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</si>
  <si>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</si>
  <si>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</si>
  <si>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</si>
  <si>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</si>
  <si>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</si>
  <si>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</si>
  <si>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</si>
  <si>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</si>
  <si>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</si>
  <si>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</si>
  <si>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</si>
  <si>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</si>
  <si>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</si>
  <si>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</si>
  <si>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</si>
  <si>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</si>
  <si>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</si>
  <si>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</si>
  <si>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</si>
  <si>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</si>
  <si>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</si>
  <si>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</si>
  <si>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</si>
  <si>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</si>
  <si>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</si>
  <si>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</si>
  <si>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</si>
  <si>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</si>
  <si>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</si>
  <si>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</si>
  <si>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</si>
  <si>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</si>
  <si>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</si>
  <si>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</si>
  <si>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</si>
  <si>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</si>
  <si>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</si>
  <si>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</si>
  <si>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</si>
  <si>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</si>
  <si>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</si>
  <si>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</si>
  <si>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</si>
  <si>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</si>
  <si>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</si>
  <si>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</si>
  <si>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</si>
  <si>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</si>
  <si>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</si>
  <si>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</si>
  <si>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</si>
  <si>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</si>
  <si>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</si>
  <si>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</si>
  <si>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</si>
  <si>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</si>
  <si>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</si>
  <si>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</si>
  <si>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</si>
  <si>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</si>
  <si>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</si>
  <si>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</si>
  <si>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</si>
  <si>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</si>
  <si>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</si>
  <si>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</si>
  <si>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</si>
  <si>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</si>
  <si>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</si>
  <si>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</si>
  <si>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</si>
  <si>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</si>
  <si>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</si>
  <si>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</si>
  <si>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</si>
  <si>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</si>
  <si>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</si>
  <si>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</si>
  <si>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</si>
  <si>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</si>
  <si>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</si>
  <si>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</si>
  <si>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</si>
  <si>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</si>
  <si>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</si>
  <si>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</si>
  <si>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</si>
  <si>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</si>
  <si>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</si>
  <si>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</si>
  <si>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</si>
  <si>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</si>
  <si>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</si>
  <si>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</si>
  <si>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</si>
  <si>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</si>
  <si>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</si>
  <si>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</si>
  <si>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</si>
  <si>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</si>
  <si>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</si>
  <si>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</si>
  <si>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</si>
  <si>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</si>
  <si>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</si>
  <si>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</si>
  <si>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</si>
  <si>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</si>
  <si>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</si>
  <si>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</si>
  <si>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</si>
  <si>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</si>
  <si>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</si>
  <si>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</si>
  <si>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</si>
  <si>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</si>
  <si>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</si>
  <si>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</si>
  <si>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</si>
  <si>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</si>
  <si>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</si>
  <si>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</si>
  <si>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</si>
  <si>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</si>
  <si>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</si>
  <si>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</si>
  <si>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</si>
  <si>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</si>
  <si>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</si>
  <si>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</si>
  <si>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</si>
  <si>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</si>
  <si>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</si>
  <si>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</si>
  <si>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</si>
  <si>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</si>
  <si>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</si>
  <si>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</si>
  <si>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</si>
  <si>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</si>
  <si>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</si>
  <si>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</si>
  <si>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</si>
  <si>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</si>
  <si>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</si>
  <si>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</si>
  <si>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</si>
  <si>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</si>
  <si>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</si>
  <si>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</si>
  <si>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</si>
  <si>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</si>
  <si>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</si>
  <si>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</si>
  <si>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</si>
  <si>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</si>
  <si>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</si>
  <si>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</si>
  <si>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</si>
  <si>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</si>
  <si>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</si>
  <si>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</si>
  <si>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</si>
  <si>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</si>
  <si>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</si>
  <si>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</si>
  <si>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</si>
  <si>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</si>
  <si>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</si>
  <si>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</si>
  <si>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</si>
  <si>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</si>
  <si>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</si>
  <si>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</si>
  <si>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</si>
  <si>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</si>
  <si>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</si>
  <si>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</si>
  <si>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</si>
  <si>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</si>
  <si>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</si>
  <si>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</si>
  <si>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</si>
  <si>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</si>
  <si>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</si>
  <si>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</si>
  <si>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</si>
  <si>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</si>
  <si>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</si>
  <si>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</si>
  <si>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</si>
  <si>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</si>
  <si>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</si>
  <si>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</si>
  <si>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</si>
  <si>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</si>
  <si>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</si>
  <si>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</si>
  <si>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</si>
  <si>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</si>
  <si>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</si>
  <si>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</si>
  <si>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</si>
  <si>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</si>
  <si>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</si>
  <si>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</si>
  <si>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</si>
  <si>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</si>
  <si>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</si>
  <si>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</si>
  <si>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</si>
  <si>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</si>
  <si>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</si>
  <si>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</si>
  <si>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</si>
  <si>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</si>
  <si>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</si>
  <si>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</si>
  <si>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</si>
  <si>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</si>
  <si>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</si>
  <si>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</si>
  <si>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</si>
  <si>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</si>
  <si>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</si>
  <si>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</si>
  <si>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</si>
  <si>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</si>
  <si>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</si>
  <si>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</si>
  <si>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</si>
  <si>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</si>
  <si>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</si>
  <si>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</si>
  <si>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</si>
  <si>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</si>
  <si>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</si>
  <si>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</si>
  <si>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</si>
  <si>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</si>
  <si>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</si>
  <si>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</si>
  <si>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</si>
  <si>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</si>
  <si>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</si>
  <si>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</si>
  <si>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</si>
  <si>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</si>
  <si>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</si>
  <si>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</si>
  <si>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</si>
  <si>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</si>
  <si>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</si>
  <si>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</si>
  <si>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</si>
  <si>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</si>
  <si>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</si>
  <si>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</si>
  <si>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</si>
  <si>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</si>
  <si>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</si>
  <si>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</si>
  <si>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</si>
  <si>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</si>
  <si>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</si>
  <si>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</si>
  <si>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</si>
  <si>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</si>
  <si>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</si>
  <si>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</si>
  <si>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</si>
  <si>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</si>
  <si>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</si>
  <si>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</si>
  <si>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</si>
  <si>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</si>
  <si>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</si>
  <si>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</si>
  <si>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</si>
  <si>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</si>
  <si>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</si>
  <si>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</si>
  <si>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</si>
  <si>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</si>
  <si>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</si>
  <si>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</si>
  <si>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</si>
  <si>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</si>
  <si>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</si>
  <si>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</si>
  <si>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</si>
  <si>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</si>
  <si>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</si>
  <si>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</si>
  <si>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</si>
  <si>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</si>
  <si>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</si>
  <si>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</si>
  <si>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</si>
  <si>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</si>
  <si>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</si>
  <si>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</si>
  <si>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</si>
  <si>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</si>
  <si>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</si>
  <si>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</si>
  <si>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</si>
  <si>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</si>
  <si>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</si>
  <si>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</si>
  <si>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</si>
  <si>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</si>
  <si>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</si>
  <si>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</si>
  <si>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</si>
  <si>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</si>
  <si>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</si>
  <si>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</si>
  <si>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</si>
  <si>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</si>
  <si>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</si>
  <si>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</si>
  <si>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</si>
  <si>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</si>
  <si>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</si>
  <si>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</si>
  <si>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</si>
  <si>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</si>
  <si>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</si>
  <si>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</si>
  <si>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</si>
  <si>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</si>
  <si>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</si>
  <si>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</si>
  <si>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</si>
  <si>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</si>
  <si>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</si>
  <si>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</si>
  <si>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</si>
  <si>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</si>
  <si>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</si>
  <si>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</si>
  <si>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</si>
  <si>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</si>
  <si>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</si>
  <si>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</si>
  <si>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</si>
  <si>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</si>
  <si>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</si>
  <si>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</si>
  <si>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</si>
  <si>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</si>
  <si>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</si>
  <si>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</si>
  <si>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</si>
  <si>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</si>
  <si>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</si>
  <si>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</si>
  <si>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</si>
  <si>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</si>
  <si>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</si>
  <si>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</si>
  <si>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</si>
  <si>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</si>
  <si>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</si>
  <si>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</si>
  <si>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</si>
  <si>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</si>
  <si>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</si>
  <si>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</si>
  <si>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</si>
  <si>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</si>
  <si>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</si>
  <si>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</si>
  <si>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</si>
  <si>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</si>
  <si>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</si>
  <si>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</si>
  <si>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</si>
  <si>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</si>
  <si>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</si>
  <si>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</si>
  <si>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</si>
  <si>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</si>
  <si>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</si>
  <si>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</si>
  <si>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</si>
  <si>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</si>
  <si>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</si>
  <si>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</si>
  <si>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</si>
  <si>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</si>
  <si>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</si>
  <si>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</si>
  <si>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</si>
  <si>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</si>
  <si>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</si>
  <si>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</si>
  <si>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</si>
  <si>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</si>
  <si>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</si>
  <si>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</si>
  <si>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</si>
  <si>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</si>
  <si>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</si>
  <si>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</si>
  <si>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</si>
  <si>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</si>
  <si>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</si>
  <si>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</si>
  <si>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</si>
  <si>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</si>
  <si>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</si>
  <si>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</si>
  <si>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</si>
  <si>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</si>
  <si>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</si>
  <si>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</si>
  <si>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</si>
  <si>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</si>
  <si>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</si>
  <si>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</si>
  <si>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</si>
  <si>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</si>
  <si>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</si>
  <si>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</si>
  <si>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</si>
  <si>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</si>
  <si>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</si>
  <si>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</si>
  <si>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</si>
  <si>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</si>
  <si>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</si>
  <si>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</si>
  <si>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</si>
  <si>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</si>
  <si>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</si>
  <si>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</si>
  <si>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</si>
  <si>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</si>
  <si>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</si>
  <si>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</si>
  <si>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</si>
  <si>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</si>
  <si>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</si>
  <si>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</si>
  <si>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</si>
  <si>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</si>
  <si>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</si>
  <si>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</si>
  <si>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</si>
  <si>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</si>
  <si>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</si>
  <si>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</si>
  <si>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</si>
  <si>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</si>
  <si>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</si>
  <si>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</si>
  <si>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</si>
  <si>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</si>
  <si>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</si>
  <si>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</si>
  <si>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</si>
  <si>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</si>
  <si>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</si>
  <si>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</si>
  <si>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</si>
  <si>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</si>
  <si>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</si>
  <si>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</si>
  <si>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</si>
  <si>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</si>
  <si>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</si>
  <si>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</si>
  <si>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</si>
  <si>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</si>
  <si>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</si>
  <si>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</si>
  <si>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</si>
  <si>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</si>
  <si>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</si>
  <si>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</si>
  <si>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</si>
  <si>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</si>
  <si>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</si>
  <si>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</si>
  <si>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</si>
  <si>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</si>
  <si>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</si>
  <si>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</si>
  <si>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</si>
  <si>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</si>
  <si>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</si>
  <si>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</si>
  <si>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</si>
  <si>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</si>
  <si>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</si>
  <si>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</si>
  <si>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</si>
  <si>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</si>
  <si>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</si>
  <si>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</si>
  <si>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</si>
  <si>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</si>
  <si>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</si>
  <si>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</si>
  <si>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</si>
  <si>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</si>
  <si>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</si>
  <si>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</si>
  <si>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</si>
  <si>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</si>
  <si>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</si>
  <si>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</si>
  <si>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</si>
  <si>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</si>
  <si>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</si>
  <si>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</si>
  <si>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</si>
  <si>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</si>
  <si>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</si>
  <si>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</si>
  <si>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</si>
  <si>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</si>
  <si>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</si>
  <si>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</si>
  <si>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</si>
  <si>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</si>
  <si>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</si>
  <si>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</si>
  <si>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</si>
  <si>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</si>
  <si>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</si>
  <si>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</si>
  <si>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</si>
  <si>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</si>
  <si>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</si>
  <si>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</si>
  <si>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</si>
  <si>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</si>
  <si>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</si>
  <si>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</si>
  <si>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</si>
  <si>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</si>
  <si>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</si>
  <si>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</si>
  <si>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</si>
  <si>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</si>
  <si>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</si>
  <si>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</si>
  <si>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</si>
  <si>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</si>
  <si>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</si>
  <si>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</si>
  <si>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</si>
  <si>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</si>
  <si>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</si>
  <si>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</si>
  <si>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</si>
  <si>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</si>
  <si>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</si>
  <si>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</si>
  <si>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</si>
  <si>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</si>
  <si>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</si>
  <si>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</si>
  <si>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</si>
  <si>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</si>
  <si>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</si>
  <si>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</si>
  <si>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</si>
  <si>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</si>
  <si>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</si>
  <si>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</si>
  <si>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</si>
  <si>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</si>
  <si>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</si>
  <si>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</si>
  <si>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</si>
  <si>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</si>
  <si>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</si>
  <si>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</si>
  <si>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</si>
  <si>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</si>
  <si>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</si>
  <si>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</si>
  <si>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</si>
  <si>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</si>
  <si>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</si>
  <si>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</si>
  <si>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</si>
  <si>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</si>
  <si>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</si>
  <si>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</si>
  <si>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</si>
  <si>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</si>
  <si>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</si>
  <si>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</si>
  <si>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</si>
  <si>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</si>
  <si>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</si>
  <si>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</si>
  <si>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</si>
  <si>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</si>
  <si>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</si>
  <si>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</si>
  <si>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</si>
  <si>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</si>
  <si>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</si>
  <si>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</si>
  <si>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</si>
  <si>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</si>
  <si>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</si>
  <si>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</si>
  <si>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</si>
  <si>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</si>
  <si>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</si>
  <si>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</si>
  <si>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</si>
  <si>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</si>
  <si>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</si>
  <si>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</si>
  <si>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</si>
  <si>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</si>
  <si>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</si>
  <si>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</si>
  <si>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</si>
  <si>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</si>
  <si>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</si>
  <si>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</si>
  <si>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</si>
  <si>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</si>
  <si>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</si>
  <si>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</si>
  <si>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</si>
  <si>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</si>
  <si>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</si>
  <si>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</si>
  <si>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</si>
  <si>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</si>
  <si>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</si>
  <si>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</si>
  <si>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</si>
  <si>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</si>
  <si>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</si>
  <si>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</si>
  <si>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</si>
  <si>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</si>
  <si>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</si>
  <si>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</si>
  <si>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</si>
  <si>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</si>
  <si>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</si>
  <si>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</si>
  <si>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</si>
  <si>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</si>
  <si>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</si>
  <si>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</si>
  <si>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</si>
  <si>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</si>
  <si>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</si>
  <si>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</si>
  <si>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</si>
  <si>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</si>
  <si>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</si>
  <si>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</si>
  <si>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</si>
  <si>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</si>
  <si>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</si>
  <si>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</si>
  <si>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</si>
  <si>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</si>
  <si>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</si>
  <si>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</si>
  <si>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</si>
  <si>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</si>
  <si>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</si>
  <si>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</si>
  <si>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</si>
  <si>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</si>
  <si>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</si>
  <si>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</si>
  <si>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</si>
  <si>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</si>
  <si>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</si>
  <si>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</si>
  <si>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</si>
  <si>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</si>
  <si>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</si>
  <si>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</si>
  <si>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</si>
  <si>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</si>
  <si>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</si>
  <si>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</si>
  <si>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</si>
  <si>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</si>
  <si>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</si>
  <si>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</si>
  <si>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</si>
  <si>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</si>
  <si>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</si>
  <si>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</si>
  <si>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</si>
  <si>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</si>
  <si>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</si>
  <si>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</si>
  <si>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</si>
  <si>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</si>
  <si>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</si>
  <si>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</si>
  <si>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</si>
  <si>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</si>
  <si>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</si>
  <si>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</si>
  <si>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</si>
  <si>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</si>
  <si>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</si>
  <si>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</si>
  <si>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</si>
  <si>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</si>
  <si>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</si>
  <si>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</si>
  <si>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</si>
  <si>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</si>
  <si>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</si>
  <si>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</si>
  <si>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</si>
  <si>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</si>
  <si>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</si>
  <si>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</si>
  <si>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</si>
  <si>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</si>
  <si>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</si>
  <si>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</si>
  <si>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</si>
  <si>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</si>
  <si>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</si>
  <si>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</si>
  <si>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</si>
  <si>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</si>
  <si>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</si>
  <si>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</si>
  <si>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</si>
  <si>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</si>
  <si>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</si>
  <si>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</si>
  <si>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</si>
  <si>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</si>
  <si>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</si>
  <si>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</si>
  <si>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</si>
  <si>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</si>
  <si>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</si>
  <si>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</si>
  <si>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</si>
  <si>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</si>
  <si>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</si>
  <si>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</si>
  <si>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</si>
  <si>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</si>
  <si>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</si>
  <si>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</si>
  <si>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</si>
  <si>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</si>
  <si>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</si>
  <si>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</si>
  <si>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</si>
  <si>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</si>
  <si>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</si>
  <si>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</si>
  <si>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</si>
  <si>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</si>
  <si>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</si>
  <si>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</si>
  <si>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</si>
  <si>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</si>
  <si>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</si>
  <si>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</si>
  <si>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</si>
  <si>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</si>
  <si>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</si>
  <si>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</si>
  <si>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</si>
  <si>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</si>
  <si>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</si>
  <si>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</si>
  <si>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</si>
  <si>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</si>
  <si>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</si>
  <si>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</si>
  <si>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</si>
  <si>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</si>
  <si>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</si>
  <si>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</si>
  <si>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</si>
  <si>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</si>
  <si>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</si>
  <si>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</si>
  <si>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</si>
  <si>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</si>
  <si>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</si>
  <si>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</si>
  <si>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</si>
  <si>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</si>
  <si>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</si>
  <si>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</si>
  <si>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</si>
  <si>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</si>
  <si>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</si>
  <si>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</si>
  <si>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</si>
  <si>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</si>
  <si>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</si>
  <si>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</si>
  <si>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</si>
  <si>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</si>
  <si>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</si>
  <si>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</si>
  <si>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</si>
  <si>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</si>
  <si>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</si>
  <si>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</si>
  <si>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</si>
  <si>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</si>
  <si>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</si>
  <si>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</si>
  <si>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</si>
  <si>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</si>
  <si>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</si>
  <si>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</si>
  <si>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</si>
  <si>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</si>
  <si>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</si>
  <si>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</si>
  <si>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</si>
  <si>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</si>
  <si>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</si>
  <si>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</si>
  <si>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</si>
  <si>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</si>
  <si>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</si>
  <si>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</si>
  <si>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</si>
  <si>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</si>
  <si>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</si>
  <si>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</si>
  <si>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</si>
  <si>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</si>
  <si>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</si>
  <si>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</si>
  <si>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</si>
  <si>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</si>
  <si>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</si>
  <si>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</si>
  <si>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</si>
  <si>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</si>
  <si>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</si>
  <si>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</si>
  <si>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</si>
  <si>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</si>
  <si>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</si>
  <si>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</si>
  <si>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</si>
  <si>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</si>
  <si>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</si>
  <si>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</si>
  <si>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</si>
  <si>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</si>
  <si>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</si>
  <si>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</si>
  <si>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</si>
  <si>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</si>
  <si>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</si>
  <si>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</si>
  <si>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</si>
  <si>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</si>
  <si>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</si>
  <si>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</si>
  <si>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</si>
  <si>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</si>
  <si>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</si>
  <si>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</si>
  <si>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</si>
  <si>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</si>
  <si>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</si>
  <si>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</si>
  <si>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</si>
  <si>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</si>
  <si>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</si>
  <si>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</si>
  <si>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</si>
  <si>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</si>
  <si>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</si>
  <si>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</si>
  <si>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</si>
  <si>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</si>
  <si>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</si>
  <si>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</si>
  <si>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</si>
  <si>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</si>
  <si>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</si>
  <si>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</si>
  <si>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</si>
  <si>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</si>
  <si>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</si>
  <si>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</si>
  <si>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</si>
  <si>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</si>
  <si>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</si>
  <si>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</si>
  <si>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</si>
  <si>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</si>
  <si>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</si>
  <si>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</si>
  <si>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</si>
  <si>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</si>
  <si>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</si>
  <si>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</si>
  <si>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</si>
  <si>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</si>
  <si>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</si>
  <si>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</si>
  <si>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</si>
  <si>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</si>
  <si>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</si>
  <si>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</si>
  <si>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</si>
  <si>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</si>
  <si>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</si>
  <si>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</si>
  <si>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</si>
  <si>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</si>
  <si>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</si>
  <si>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</si>
  <si>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</si>
  <si>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</si>
  <si>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</si>
  <si>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</si>
  <si>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</si>
  <si>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</si>
  <si>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</si>
  <si>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</si>
  <si>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</si>
  <si>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</si>
  <si>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</si>
  <si>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</si>
  <si>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</si>
  <si>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</si>
  <si>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</si>
  <si>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</si>
  <si>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</si>
  <si>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</si>
  <si>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</si>
  <si>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</si>
  <si>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</si>
  <si>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</si>
  <si>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</si>
  <si>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</si>
  <si>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</si>
  <si>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</si>
  <si>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</si>
  <si>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</si>
  <si>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</si>
  <si>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</si>
  <si>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</si>
  <si>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</si>
  <si>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</si>
  <si>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</si>
  <si>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</si>
  <si>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</si>
  <si>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</si>
  <si>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</si>
  <si>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</si>
  <si>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</si>
  <si>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</si>
  <si>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</si>
  <si>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</si>
  <si>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</si>
  <si>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</si>
  <si>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</si>
  <si>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</si>
  <si>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</si>
  <si>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</si>
  <si>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</si>
  <si>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</si>
  <si>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</si>
  <si>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</si>
  <si>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</si>
  <si>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</si>
  <si>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</si>
  <si>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</si>
  <si>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</si>
  <si>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</si>
  <si>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</si>
  <si>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</si>
  <si>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</si>
  <si>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</si>
  <si>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</si>
  <si>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</si>
  <si>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</si>
  <si>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</si>
  <si>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</si>
  <si>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</si>
  <si>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</si>
  <si>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</si>
  <si>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</si>
  <si>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</si>
  <si>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</si>
  <si>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</si>
  <si>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</si>
  <si>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</si>
  <si>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</si>
  <si>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</si>
  <si>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</si>
  <si>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</si>
  <si>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</si>
  <si>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</si>
  <si>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</si>
  <si>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</si>
  <si>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</si>
  <si>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</si>
  <si>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</si>
  <si>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</si>
  <si>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</si>
  <si>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</si>
  <si>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</si>
  <si>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</si>
  <si>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</si>
  <si>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</si>
  <si>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</si>
  <si>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</si>
  <si>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</si>
  <si>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</si>
  <si>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</si>
  <si>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</si>
  <si>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</si>
  <si>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</si>
  <si>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</si>
  <si>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</si>
  <si>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</si>
  <si>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</si>
  <si>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</si>
  <si>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</si>
  <si>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</si>
  <si>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</si>
  <si>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</si>
  <si>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</si>
  <si>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</si>
  <si>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</si>
  <si>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</si>
  <si>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</si>
  <si>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</si>
  <si>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</si>
  <si>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</si>
  <si>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</si>
  <si>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</si>
  <si>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</si>
  <si>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</si>
  <si>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</si>
  <si>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</si>
  <si>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</si>
  <si>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</si>
  <si>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</si>
  <si>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</si>
  <si>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</si>
  <si>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</si>
  <si>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</si>
  <si>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</si>
  <si>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</si>
  <si>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</si>
  <si>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</si>
  <si>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</si>
  <si>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</si>
  <si>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</si>
  <si>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</si>
  <si>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</si>
  <si>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</si>
  <si>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</si>
  <si>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</si>
  <si>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</si>
  <si>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</si>
  <si>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</si>
  <si>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</si>
  <si>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</si>
  <si>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</si>
  <si>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</si>
  <si>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</si>
  <si>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</si>
  <si>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</si>
  <si>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</si>
  <si>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</si>
  <si>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</si>
  <si>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</si>
  <si>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</si>
  <si>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</si>
  <si>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</si>
  <si>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</si>
  <si>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</si>
  <si>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</si>
  <si>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</si>
  <si>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</si>
  <si>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</si>
  <si>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</si>
  <si>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</si>
  <si>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</si>
  <si>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</si>
  <si>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</si>
  <si>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</si>
  <si>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</si>
  <si>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</si>
  <si>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</si>
  <si>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</si>
  <si>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</si>
  <si>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</si>
  <si>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</si>
  <si>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</si>
  <si>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</si>
  <si>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</si>
  <si>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</si>
  <si>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</si>
  <si>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</si>
  <si>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</si>
  <si>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</si>
  <si>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</si>
  <si>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</si>
  <si>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</si>
  <si>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</si>
  <si>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</si>
  <si>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</si>
  <si>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</si>
  <si>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</si>
  <si>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</si>
  <si>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</si>
  <si>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</si>
  <si>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</si>
  <si>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</si>
  <si>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</si>
  <si>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</si>
  <si>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</si>
  <si>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</si>
  <si>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</si>
  <si>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</si>
  <si>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</si>
  <si>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</si>
  <si>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</si>
  <si>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</si>
  <si>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</si>
  <si>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</si>
  <si>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</si>
  <si>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</si>
  <si>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</si>
  <si>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</si>
  <si>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</si>
  <si>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</si>
  <si>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</si>
  <si>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</si>
  <si>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</si>
  <si>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</si>
  <si>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</si>
  <si>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</si>
  <si>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</si>
  <si>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</si>
  <si>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</si>
  <si>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</si>
  <si>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</si>
  <si>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</si>
  <si>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</si>
  <si>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</si>
  <si>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</si>
  <si>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</si>
  <si>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</si>
  <si>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</si>
  <si>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</si>
  <si>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</si>
  <si>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</si>
  <si>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</si>
  <si>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</si>
  <si>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</si>
  <si>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</si>
  <si>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</si>
  <si>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</si>
  <si>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</si>
  <si>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</si>
  <si>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</si>
  <si>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</si>
  <si>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</si>
  <si>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</si>
  <si>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</si>
  <si>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</si>
  <si>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</si>
  <si>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</si>
  <si>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</si>
  <si>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</si>
  <si>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</si>
  <si>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</si>
  <si>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</si>
  <si>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</si>
  <si>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</si>
  <si>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</si>
  <si>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</si>
  <si>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</si>
  <si>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</si>
  <si>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</si>
  <si>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</si>
  <si>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</si>
  <si>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</si>
  <si>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</si>
  <si>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</si>
  <si>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</si>
  <si>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</si>
  <si>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</si>
  <si>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</si>
  <si>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</si>
  <si>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</si>
  <si>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</si>
  <si>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</si>
  <si>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</si>
  <si>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</si>
  <si>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</si>
  <si>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</si>
  <si>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</si>
  <si>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</si>
  <si>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</si>
  <si>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</si>
  <si>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</si>
  <si>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</si>
  <si>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</si>
  <si>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</si>
  <si>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</si>
  <si>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</si>
  <si>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</si>
  <si>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</si>
  <si>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</si>
  <si>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</si>
  <si>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</si>
  <si>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</si>
  <si>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</si>
  <si>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</si>
  <si>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</si>
  <si>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</si>
  <si>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</si>
  <si>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</si>
  <si>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</si>
  <si>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</si>
  <si>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</si>
  <si>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</si>
  <si>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</si>
  <si>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</si>
  <si>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</si>
  <si>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</si>
  <si>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</si>
  <si>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</si>
  <si>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</si>
  <si>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</si>
  <si>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</si>
  <si>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</si>
  <si>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</si>
  <si>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</si>
  <si>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</si>
  <si>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</si>
  <si>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</si>
  <si>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</si>
  <si>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</si>
  <si>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</si>
  <si>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</si>
  <si>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</si>
  <si>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</si>
  <si>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</si>
  <si>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</si>
  <si>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</si>
  <si>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</si>
  <si>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</si>
  <si>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</si>
  <si>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</si>
  <si>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</si>
  <si>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</si>
  <si>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</si>
  <si>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</si>
  <si>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</si>
  <si>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</si>
  <si>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</si>
  <si>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</si>
  <si>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</si>
  <si>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</si>
  <si>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</si>
  <si>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</si>
  <si>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</si>
  <si>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</si>
  <si>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</si>
  <si>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</si>
  <si>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</si>
  <si>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</si>
  <si>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</si>
  <si>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</si>
  <si>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</si>
  <si>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</si>
  <si>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</si>
  <si>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</si>
  <si>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</si>
  <si>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</si>
  <si>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</si>
  <si>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</si>
  <si>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</si>
  <si>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</si>
  <si>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</si>
  <si>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</si>
  <si>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</si>
  <si>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</si>
  <si>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</si>
  <si>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</si>
  <si>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</si>
  <si>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</si>
  <si>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</si>
  <si>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</si>
  <si>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</si>
  <si>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</si>
  <si>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</si>
  <si>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</si>
  <si>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</si>
  <si>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</si>
  <si>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</si>
  <si>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</si>
  <si>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</si>
  <si>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</si>
  <si>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</si>
  <si>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</si>
  <si>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</si>
  <si>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</si>
  <si>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</si>
  <si>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</si>
  <si>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</si>
  <si>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</si>
  <si>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</si>
  <si>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</si>
  <si>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</si>
  <si>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</si>
  <si>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</si>
  <si>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</si>
  <si>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</si>
  <si>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</si>
  <si>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</si>
  <si>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</si>
  <si>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</si>
  <si>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</si>
  <si>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</si>
  <si>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</si>
  <si>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</si>
  <si>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</si>
  <si>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</si>
  <si>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</si>
  <si>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</si>
  <si>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</si>
  <si>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</si>
  <si>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</si>
  <si>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</si>
  <si>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</si>
  <si>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</si>
  <si>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</si>
  <si>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</si>
  <si>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</si>
  <si>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</si>
  <si>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</si>
  <si>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</si>
  <si>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</si>
  <si>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</si>
  <si>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</si>
  <si>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</si>
  <si>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</si>
  <si>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</si>
  <si>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</si>
  <si>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</si>
  <si>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</si>
  <si>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</si>
  <si>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</si>
  <si>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</si>
  <si>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</si>
  <si>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</si>
  <si>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</si>
  <si>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</si>
  <si>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</si>
  <si>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</si>
  <si>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</si>
  <si>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</si>
  <si>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</si>
  <si>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</si>
  <si>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</si>
  <si>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</si>
  <si>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</si>
  <si>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</si>
  <si>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</si>
  <si>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</si>
  <si>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</si>
  <si>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</si>
  <si>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</si>
  <si>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</si>
  <si>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</si>
  <si>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</si>
  <si>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</si>
  <si>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</si>
  <si>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</si>
  <si>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</si>
  <si>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</si>
  <si>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</si>
  <si>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</si>
  <si>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</si>
  <si>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</si>
  <si>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</si>
  <si>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</si>
  <si>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</si>
  <si>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</si>
  <si>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</si>
  <si>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</si>
  <si>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</si>
  <si>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</si>
  <si>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</si>
  <si>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</si>
  <si>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</si>
  <si>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</si>
  <si>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</si>
  <si>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</si>
  <si>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</si>
  <si>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</si>
  <si>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</si>
  <si>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</si>
  <si>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</si>
  <si>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</si>
  <si>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</si>
  <si>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</si>
  <si>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</si>
  <si>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</si>
  <si>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</si>
  <si>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</si>
  <si>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</si>
  <si>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</si>
  <si>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</si>
  <si>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</si>
  <si>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</si>
  <si>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</si>
  <si>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</si>
  <si>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</si>
  <si>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</si>
  <si>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</si>
  <si>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</si>
  <si>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</si>
  <si>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</si>
  <si>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</si>
  <si>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</si>
  <si>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</si>
  <si>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</si>
  <si>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</si>
  <si>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</si>
  <si>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</si>
  <si>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</si>
  <si>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</si>
  <si>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</si>
  <si>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</si>
  <si>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</si>
  <si>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</si>
  <si>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</si>
  <si>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</si>
  <si>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</si>
  <si>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</si>
  <si>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</si>
  <si>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</si>
  <si>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</si>
  <si>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</si>
  <si>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</si>
  <si>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</si>
  <si>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</si>
  <si>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</si>
  <si>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</si>
  <si>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</si>
  <si>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</si>
  <si>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</si>
  <si>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</si>
  <si>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</si>
  <si>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</si>
  <si>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</si>
  <si>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</si>
  <si>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</si>
  <si>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</si>
  <si>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</si>
  <si>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</si>
  <si>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</si>
  <si>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</si>
  <si>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</si>
  <si>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</si>
  <si>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</si>
  <si>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</si>
  <si>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</si>
  <si>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</si>
  <si>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</si>
  <si>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</si>
  <si>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</si>
  <si>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</si>
  <si>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</si>
  <si>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</si>
  <si>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</si>
  <si>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</si>
  <si>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</si>
  <si>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</si>
  <si>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</si>
  <si>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</si>
  <si>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</si>
  <si>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</si>
  <si>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</si>
  <si>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</si>
  <si>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</si>
  <si>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</si>
  <si>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</si>
  <si>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</si>
  <si>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</si>
  <si>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</si>
  <si>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</si>
  <si>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</si>
  <si>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</si>
  <si>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</si>
  <si>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</si>
  <si>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</si>
  <si>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</si>
  <si>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</si>
  <si>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</si>
  <si>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</si>
  <si>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</si>
  <si>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</si>
  <si>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</si>
  <si>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</si>
  <si>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</si>
  <si>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</si>
  <si>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</si>
  <si>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</si>
  <si>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</si>
  <si>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</si>
  <si>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</si>
  <si>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</si>
  <si>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</si>
  <si>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</si>
  <si>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</si>
  <si>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</si>
  <si>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</si>
  <si>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</si>
  <si>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</si>
  <si>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</si>
  <si>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</si>
  <si>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</si>
  <si>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</si>
  <si>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</si>
  <si>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</si>
  <si>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</si>
  <si>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</si>
  <si>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</si>
  <si>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</si>
  <si>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</si>
  <si>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</si>
  <si>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</si>
  <si>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</si>
  <si>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</si>
  <si>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</si>
  <si>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</si>
  <si>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</si>
  <si>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</si>
  <si>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</si>
  <si>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</si>
  <si>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</si>
  <si>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</si>
  <si>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</si>
  <si>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</si>
  <si>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</si>
  <si>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</si>
  <si>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</si>
  <si>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</si>
  <si>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</si>
  <si>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</si>
  <si>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</si>
  <si>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</si>
  <si>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</si>
  <si>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</si>
  <si>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</si>
  <si>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</si>
  <si>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</si>
  <si>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</si>
  <si>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</si>
  <si>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</si>
  <si>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</si>
  <si>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</si>
  <si>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</si>
  <si>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</si>
  <si>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</si>
  <si>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</si>
  <si>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</si>
  <si>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</si>
  <si>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</si>
  <si>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</si>
  <si>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</si>
  <si>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</si>
  <si>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</si>
  <si>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</si>
  <si>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</si>
  <si>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</si>
  <si>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</si>
  <si>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</si>
  <si>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</si>
  <si>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</si>
  <si>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</si>
  <si>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</si>
  <si>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</si>
  <si>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</si>
  <si>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</si>
  <si>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</si>
  <si>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</si>
  <si>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</si>
  <si>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</si>
  <si>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</si>
  <si>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</si>
  <si>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</si>
  <si>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</si>
  <si>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</si>
  <si>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</si>
  <si>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</si>
  <si>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</si>
  <si>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</si>
  <si>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</si>
  <si>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</si>
  <si>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</si>
  <si>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</si>
  <si>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</si>
  <si>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</si>
  <si>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</si>
  <si>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</si>
  <si>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</si>
  <si>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</si>
  <si>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</si>
  <si>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</si>
  <si>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</si>
  <si>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</si>
  <si>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</si>
  <si>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</si>
  <si>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</si>
  <si>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</si>
  <si>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</si>
  <si>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</si>
  <si>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</si>
  <si>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</si>
  <si>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</si>
  <si>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</si>
  <si>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</si>
  <si>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</si>
  <si>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</si>
  <si>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</si>
  <si>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</si>
  <si>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</si>
  <si>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</si>
  <si>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</si>
  <si>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</si>
  <si>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</si>
  <si>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</si>
  <si>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</si>
  <si>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</si>
  <si>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</si>
  <si>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</si>
  <si>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</si>
  <si>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</si>
  <si>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</si>
  <si>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</si>
  <si>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</si>
  <si>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</si>
  <si>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</si>
  <si>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</si>
  <si>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</si>
  <si>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</si>
  <si>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</si>
  <si>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</si>
  <si>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</si>
  <si>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</si>
  <si>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</si>
  <si>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</si>
  <si>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</si>
  <si>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</si>
  <si>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</si>
  <si>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</si>
  <si>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</si>
  <si>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</si>
  <si>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</si>
  <si>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</si>
  <si>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</si>
  <si>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</si>
  <si>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</si>
  <si>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</si>
  <si>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</si>
  <si>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</si>
  <si>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</si>
  <si>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</si>
  <si>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</si>
  <si>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</si>
  <si>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</si>
  <si>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</si>
  <si>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</si>
  <si>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</si>
  <si>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</si>
  <si>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</si>
  <si>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</si>
  <si>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</si>
  <si>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</si>
  <si>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</si>
  <si>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</si>
  <si>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</si>
  <si>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</si>
  <si>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</si>
  <si>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</si>
  <si>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</si>
  <si>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</si>
  <si>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</si>
  <si>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</si>
  <si>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</si>
  <si>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</si>
  <si>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</si>
  <si>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</si>
  <si>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</si>
  <si>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</si>
  <si>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</si>
  <si>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</si>
  <si>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</si>
  <si>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</si>
  <si>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</si>
  <si>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</si>
  <si>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</si>
  <si>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</si>
  <si>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</si>
  <si>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</si>
  <si>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</si>
  <si>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</si>
  <si>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</si>
  <si>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</si>
  <si>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</si>
  <si>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</si>
  <si>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</si>
  <si>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</si>
  <si>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</si>
  <si>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</si>
  <si>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</si>
  <si>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</si>
  <si>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</si>
  <si>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</si>
  <si>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</si>
  <si>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</si>
  <si>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</si>
  <si>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</si>
  <si>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</si>
  <si>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</si>
  <si>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</si>
  <si>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</si>
  <si>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</si>
  <si>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</si>
  <si>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</si>
  <si>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</si>
  <si>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</si>
  <si>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</si>
  <si>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</si>
  <si>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</si>
  <si>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</si>
  <si>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</si>
  <si>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</si>
  <si>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</si>
  <si>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</si>
  <si>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</si>
  <si>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</si>
  <si>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</si>
  <si>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</si>
  <si>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</si>
  <si>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</si>
  <si>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</si>
  <si>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</si>
  <si>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</si>
  <si>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</si>
  <si>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</si>
  <si>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</si>
  <si>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</si>
  <si>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</si>
  <si>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</si>
  <si>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</si>
  <si>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</si>
  <si>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</si>
  <si>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</si>
  <si>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</si>
  <si>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</si>
  <si>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</si>
  <si>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</si>
  <si>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</si>
  <si>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</si>
  <si>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</si>
  <si>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</si>
  <si>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</si>
  <si>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</si>
  <si>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</si>
  <si>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</si>
  <si>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</si>
  <si>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</si>
  <si>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</si>
  <si>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</si>
  <si>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</si>
  <si>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</si>
  <si>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</si>
  <si>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</si>
  <si>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</si>
  <si>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</si>
  <si>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</si>
  <si>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</si>
  <si>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</si>
  <si>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</si>
  <si>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</si>
  <si>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</si>
  <si>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</si>
  <si>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</si>
  <si>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</si>
  <si>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</si>
  <si>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</si>
  <si>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</si>
  <si>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</si>
  <si>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</si>
  <si>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</si>
  <si>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</si>
  <si>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</si>
  <si>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</si>
  <si>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</si>
  <si>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</si>
  <si>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</si>
  <si>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</si>
  <si>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</si>
  <si>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</si>
  <si>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</si>
  <si>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</si>
  <si>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</si>
  <si>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</si>
  <si>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</si>
  <si>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</si>
  <si>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</si>
  <si>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</si>
  <si>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</si>
  <si>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</si>
  <si>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</si>
  <si>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</si>
  <si>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</si>
  <si>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</si>
  <si>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</si>
  <si>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</si>
  <si>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</si>
  <si>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</si>
  <si>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</si>
  <si>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</si>
  <si>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</si>
  <si>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</si>
  <si>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</si>
  <si>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</si>
  <si>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</si>
  <si>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</si>
  <si>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</si>
  <si>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</si>
  <si>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</si>
  <si>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</si>
  <si>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</si>
  <si>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</si>
  <si>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</si>
  <si>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</si>
  <si>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</si>
  <si>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</si>
  <si>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</si>
  <si>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</si>
  <si>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</si>
  <si>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</si>
  <si>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</si>
  <si>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</si>
  <si>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</si>
  <si>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</si>
  <si>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</si>
  <si>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</si>
  <si>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</si>
  <si>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</si>
  <si>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</si>
  <si>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</si>
  <si>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</si>
  <si>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</si>
  <si>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</si>
  <si>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</si>
  <si>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</si>
  <si>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</si>
  <si>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</si>
  <si>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</si>
  <si>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</si>
  <si>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</si>
  <si>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</si>
  <si>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</si>
  <si>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</si>
  <si>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</si>
  <si>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</si>
  <si>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</si>
  <si>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</si>
  <si>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</si>
  <si>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</si>
  <si>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</si>
  <si>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</si>
  <si>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</si>
  <si>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</si>
  <si>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</si>
  <si>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</si>
  <si>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</si>
  <si>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</si>
  <si>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</si>
  <si>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</si>
  <si>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</si>
  <si>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</si>
  <si>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</si>
  <si>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</si>
  <si>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</si>
  <si>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</si>
  <si>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</si>
  <si>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</si>
  <si>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</si>
  <si>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</si>
  <si>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</si>
  <si>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</si>
  <si>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</si>
  <si>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</si>
  <si>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</si>
  <si>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</si>
  <si>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</si>
  <si>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</si>
  <si>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</si>
  <si>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</si>
  <si>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</si>
  <si>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</si>
  <si>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</si>
  <si>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</si>
  <si>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</si>
  <si>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</si>
  <si>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</si>
  <si>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</si>
  <si>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</si>
  <si>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</si>
  <si>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</si>
  <si>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</si>
  <si>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</si>
  <si>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</si>
  <si>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</si>
  <si>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</si>
  <si>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</si>
  <si>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</si>
  <si>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</si>
  <si>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</si>
  <si>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</si>
  <si>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</si>
  <si>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</si>
  <si>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</si>
  <si>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</si>
  <si>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</si>
  <si>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</si>
  <si>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</si>
  <si>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</si>
  <si>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</si>
  <si>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</si>
  <si>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</si>
  <si>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</si>
  <si>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</si>
  <si>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</si>
  <si>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</si>
  <si>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</si>
  <si>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</si>
  <si>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</si>
  <si>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</si>
  <si>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</si>
  <si>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</si>
  <si>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</si>
  <si>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</si>
  <si>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</si>
  <si>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</si>
  <si>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</si>
  <si>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</si>
  <si>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</si>
  <si>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</si>
  <si>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</si>
  <si>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</si>
  <si>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</si>
  <si>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</si>
  <si>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</si>
  <si>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</si>
  <si>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</si>
  <si>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</si>
  <si>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</si>
  <si>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</si>
  <si>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</si>
  <si>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</si>
  <si>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</si>
  <si>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</si>
  <si>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</si>
  <si>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</si>
  <si>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</si>
  <si>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</si>
  <si>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</si>
  <si>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</si>
  <si>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</si>
  <si>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</si>
  <si>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</si>
  <si>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</si>
  <si>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</si>
  <si>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</si>
  <si>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</si>
  <si>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</si>
  <si>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</si>
  <si>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</si>
  <si>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</si>
  <si>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</si>
  <si>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</si>
  <si>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</si>
  <si>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</si>
  <si>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</si>
  <si>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</si>
  <si>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</si>
  <si>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</si>
  <si>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</si>
  <si>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</si>
  <si>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</si>
  <si>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</si>
  <si>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</si>
  <si>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</si>
  <si>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</si>
  <si>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</si>
  <si>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</si>
  <si>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</si>
  <si>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</si>
  <si>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</si>
  <si>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</si>
  <si>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</si>
  <si>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</si>
  <si>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</si>
  <si>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</si>
  <si>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</si>
  <si>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</si>
  <si>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</si>
  <si>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</si>
  <si>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</si>
  <si>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</si>
  <si>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</si>
  <si>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</si>
  <si>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</si>
  <si>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</si>
  <si>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</si>
  <si>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</si>
  <si>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</si>
  <si>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</si>
  <si>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</si>
  <si>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</si>
  <si>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</si>
  <si>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</si>
  <si>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</si>
  <si>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</si>
  <si>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</si>
  <si>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</si>
  <si>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</si>
  <si>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</si>
  <si>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</si>
  <si>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</si>
  <si>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</si>
  <si>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</si>
  <si>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</si>
  <si>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</si>
  <si>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</si>
  <si>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</si>
  <si>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</si>
  <si>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</si>
  <si>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</si>
  <si>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</si>
  <si>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</si>
  <si>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</si>
  <si>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</si>
  <si>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</si>
  <si>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</si>
  <si>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</si>
  <si>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</si>
  <si>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</si>
  <si>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</si>
  <si>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</si>
  <si>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</si>
  <si>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</si>
  <si>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</si>
  <si>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</si>
  <si>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</si>
  <si>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</si>
  <si>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</si>
  <si>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</si>
  <si>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</si>
  <si>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</si>
  <si>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</si>
  <si>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</si>
  <si>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</si>
  <si>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</si>
  <si>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</si>
  <si>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</si>
  <si>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</si>
  <si>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</si>
  <si>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</si>
  <si>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</si>
  <si>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</si>
  <si>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</si>
  <si>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</si>
  <si>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</si>
  <si>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</si>
  <si>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</si>
  <si>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</si>
  <si>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</si>
  <si>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</si>
  <si>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</si>
  <si>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</si>
  <si>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</si>
  <si>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</si>
  <si>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</si>
  <si>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</si>
  <si>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</si>
  <si>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</si>
  <si>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</si>
  <si>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</si>
  <si>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</si>
  <si>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</si>
  <si>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</si>
  <si>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</si>
  <si>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</si>
  <si>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</si>
  <si>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</si>
  <si>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</si>
  <si>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</si>
  <si>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</si>
  <si>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</si>
  <si>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</si>
  <si>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</si>
  <si>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</si>
  <si>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</si>
  <si>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</si>
  <si>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</si>
  <si>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</si>
  <si>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</si>
  <si>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</si>
  <si>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</si>
  <si>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</si>
  <si>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</si>
  <si>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</si>
  <si>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</si>
  <si>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</si>
  <si>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</si>
  <si>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</si>
  <si>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</si>
  <si>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</si>
  <si>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</si>
  <si>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</si>
  <si>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</si>
  <si>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</si>
  <si>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</si>
  <si>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</si>
  <si>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</si>
  <si>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</si>
  <si>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</si>
  <si>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</si>
  <si>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</si>
  <si>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</si>
  <si>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</si>
  <si>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</si>
  <si>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</si>
  <si>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</si>
  <si>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</si>
  <si>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</si>
  <si>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</si>
  <si>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</si>
  <si>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</si>
  <si>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</si>
  <si>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</si>
  <si>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</si>
  <si>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</si>
  <si>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</si>
  <si>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</si>
  <si>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</si>
  <si>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</si>
  <si>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</si>
  <si>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</si>
  <si>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</si>
  <si>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</si>
  <si>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</si>
  <si>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</si>
  <si>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</si>
  <si>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</si>
  <si>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</si>
  <si>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</si>
  <si>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</si>
  <si>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</si>
  <si>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</si>
  <si>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</si>
  <si>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</si>
  <si>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</si>
  <si>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</si>
  <si>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</si>
  <si>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</si>
  <si>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</si>
  <si>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</si>
  <si>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</si>
  <si>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</si>
  <si>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</si>
  <si>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</si>
  <si>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</si>
  <si>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</si>
  <si>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</si>
  <si>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</si>
  <si>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</si>
  <si>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</si>
  <si>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</si>
  <si>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</si>
  <si>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</si>
  <si>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</si>
  <si>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</si>
  <si>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</si>
  <si>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</si>
  <si>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</si>
  <si>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</si>
  <si>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</si>
  <si>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</si>
  <si>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</si>
  <si>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</si>
  <si>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</si>
  <si>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</si>
  <si>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</si>
  <si>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</si>
  <si>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</si>
  <si>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</si>
  <si>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</si>
  <si>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</si>
  <si>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</si>
  <si>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</si>
  <si>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</si>
  <si>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</si>
  <si>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</si>
  <si>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</si>
  <si>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</si>
  <si>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</si>
  <si>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</si>
  <si>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</si>
  <si>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</si>
  <si>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</si>
  <si>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</si>
  <si>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</si>
  <si>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</si>
  <si>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</si>
  <si>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</si>
  <si>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</si>
  <si>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</si>
  <si>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</si>
  <si>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</si>
  <si>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</si>
  <si>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</si>
  <si>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</si>
  <si>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</si>
  <si>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</si>
  <si>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</si>
  <si>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</si>
  <si>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</si>
  <si>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</si>
  <si>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</si>
  <si>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</si>
  <si>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</si>
  <si>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</si>
  <si>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</si>
  <si>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</si>
  <si>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</si>
  <si>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</si>
  <si>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</si>
  <si>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</si>
  <si>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</si>
  <si>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</si>
  <si>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</si>
  <si>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</si>
  <si>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</si>
  <si>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</si>
  <si>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</si>
  <si>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</si>
  <si>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</si>
  <si>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</si>
  <si>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</si>
  <si>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</si>
  <si>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</si>
  <si>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</si>
  <si>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</si>
  <si>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</si>
  <si>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</si>
  <si>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</si>
  <si>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</si>
  <si>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</si>
  <si>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</si>
  <si>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</si>
  <si>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</si>
  <si>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</si>
  <si>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</si>
  <si>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</si>
  <si>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</si>
  <si>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</si>
  <si>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</si>
  <si>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</si>
  <si>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</si>
  <si>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</si>
  <si>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</si>
  <si>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</si>
  <si>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</si>
  <si>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</si>
  <si>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</si>
  <si>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</si>
  <si>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</si>
  <si>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</si>
  <si>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</si>
  <si>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</si>
  <si>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</si>
  <si>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</si>
  <si>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</si>
  <si>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</si>
  <si>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</si>
  <si>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</si>
  <si>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</si>
  <si>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</si>
  <si>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</si>
  <si>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</si>
  <si>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</si>
  <si>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</si>
  <si>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</si>
  <si>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</si>
  <si>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</si>
  <si>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</si>
  <si>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</si>
  <si>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</si>
  <si>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</si>
  <si>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</si>
  <si>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</si>
  <si>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</si>
  <si>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</si>
  <si>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</si>
  <si>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</si>
  <si>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</si>
  <si>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</si>
  <si>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</si>
  <si>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</si>
  <si>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</si>
  <si>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</si>
  <si>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</si>
  <si>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</si>
  <si>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</si>
  <si>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</si>
  <si>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</si>
  <si>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</si>
  <si>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</si>
  <si>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</si>
  <si>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</si>
  <si>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</si>
  <si>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</si>
  <si>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</si>
  <si>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</si>
  <si>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</si>
  <si>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</si>
  <si>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</si>
  <si>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</si>
  <si>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</si>
  <si>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</si>
  <si>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</si>
  <si>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</si>
  <si>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</si>
  <si>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</si>
  <si>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</si>
  <si>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</si>
  <si>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</si>
  <si>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</si>
  <si>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</si>
  <si>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</si>
  <si>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</si>
  <si>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</si>
  <si>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</si>
  <si>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</si>
  <si>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</si>
  <si>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</si>
  <si>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</si>
  <si>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</si>
  <si>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</si>
  <si>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</si>
  <si>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</si>
  <si>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</si>
  <si>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</si>
  <si>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</si>
  <si>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</si>
  <si>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</si>
  <si>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</si>
  <si>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</si>
  <si>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</si>
  <si>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</si>
  <si>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</si>
  <si>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</si>
  <si>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</si>
  <si>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</si>
  <si>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</si>
  <si>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</si>
  <si>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</si>
  <si>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</si>
  <si>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</si>
  <si>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</si>
  <si>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</si>
  <si>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</si>
  <si>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</si>
  <si>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</si>
  <si>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</si>
  <si>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</si>
  <si>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</si>
  <si>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</si>
  <si>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</si>
  <si>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</si>
  <si>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</si>
  <si>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</si>
  <si>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</si>
  <si>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</si>
  <si>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</si>
  <si>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</si>
  <si>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</si>
  <si>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</si>
  <si>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</si>
  <si>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</si>
  <si>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</si>
  <si>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</si>
  <si>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</si>
  <si>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</si>
  <si>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</si>
  <si>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</si>
  <si>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</si>
  <si>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</si>
  <si>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</si>
  <si>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</si>
  <si>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</si>
  <si>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</si>
  <si>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</si>
  <si>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</si>
  <si>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</si>
  <si>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</si>
  <si>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</si>
  <si>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</si>
  <si>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</si>
  <si>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</si>
  <si>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</si>
  <si>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</si>
  <si>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</si>
  <si>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</si>
  <si>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</si>
  <si>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</si>
  <si>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</si>
  <si>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</si>
  <si>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</si>
  <si>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</si>
  <si>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</si>
  <si>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</si>
  <si>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</si>
  <si>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</si>
  <si>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</si>
  <si>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</si>
  <si>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</si>
  <si>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</si>
  <si>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</si>
  <si>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</si>
  <si>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</si>
  <si>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</si>
  <si>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</si>
  <si>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</si>
  <si>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</si>
  <si>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</si>
  <si>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</si>
  <si>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</si>
  <si>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</si>
  <si>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</si>
  <si>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</si>
  <si>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</si>
  <si>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</si>
  <si>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</si>
  <si>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</si>
  <si>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</si>
  <si>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</si>
  <si>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</si>
  <si>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</si>
  <si>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</si>
  <si>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</si>
  <si>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</si>
  <si>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</si>
  <si>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</si>
  <si>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</si>
  <si>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</si>
  <si>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</si>
  <si>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</si>
  <si>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</si>
  <si>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</si>
  <si>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</si>
  <si>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</si>
  <si>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</si>
  <si>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</si>
  <si>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</si>
  <si>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</si>
  <si>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</si>
  <si>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</si>
  <si>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</si>
  <si>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</si>
  <si>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</si>
  <si>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</si>
  <si>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</si>
  <si>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</si>
  <si>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</si>
  <si>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</si>
  <si>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</si>
  <si>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</si>
  <si>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</si>
  <si>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</si>
  <si>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</si>
  <si>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</si>
  <si>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</si>
  <si>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</si>
  <si>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</si>
  <si>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</si>
  <si>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</si>
  <si>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</si>
  <si>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</si>
  <si>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</si>
  <si>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</si>
  <si>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</si>
  <si>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</si>
  <si>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</si>
  <si>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</si>
  <si>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</si>
  <si>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</si>
  <si>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</si>
  <si>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</si>
  <si>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</si>
  <si>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</si>
  <si>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</si>
  <si>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</si>
  <si>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</si>
  <si>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</si>
  <si>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</si>
  <si>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</si>
  <si>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</si>
  <si>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</si>
  <si>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</si>
  <si>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</si>
  <si>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</si>
  <si>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</si>
  <si>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</si>
  <si>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</si>
  <si>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</si>
  <si>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</si>
  <si>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</si>
  <si>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</si>
  <si>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</si>
  <si>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</si>
  <si>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</si>
  <si>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</si>
  <si>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</si>
  <si>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</si>
  <si>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</si>
  <si>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</si>
  <si>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</si>
  <si>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</si>
  <si>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</si>
  <si>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</si>
  <si>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</si>
  <si>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</si>
  <si>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</si>
  <si>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</si>
  <si>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</si>
  <si>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</si>
  <si>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</si>
  <si>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</si>
  <si>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</si>
  <si>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</si>
  <si>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</si>
  <si>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</si>
  <si>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</si>
  <si>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</si>
  <si>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</si>
  <si>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</si>
  <si>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</si>
  <si>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</si>
  <si>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</si>
  <si>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</si>
  <si>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</si>
  <si>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</si>
  <si>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</si>
  <si>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</si>
  <si>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</si>
  <si>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</si>
  <si>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</si>
  <si>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</si>
  <si>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</si>
  <si>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</si>
  <si>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</si>
  <si>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</si>
  <si>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</si>
  <si>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</si>
  <si>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</si>
  <si>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</si>
  <si>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</si>
  <si>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</si>
  <si>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</si>
  <si>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</si>
  <si>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</si>
  <si>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</si>
  <si>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</si>
  <si>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</si>
  <si>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</si>
  <si>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</si>
  <si>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</si>
  <si>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</si>
  <si>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</si>
  <si>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</si>
  <si>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</si>
  <si>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</si>
  <si>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</si>
  <si>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</si>
  <si>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</si>
  <si>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</si>
  <si>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</si>
  <si>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</si>
  <si>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</si>
  <si>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</si>
  <si>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</si>
  <si>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</si>
  <si>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</si>
  <si>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</si>
  <si>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</si>
  <si>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</si>
  <si>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</si>
  <si>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</si>
  <si>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</si>
  <si>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</si>
  <si>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</si>
  <si>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</si>
  <si>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</si>
  <si>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</si>
  <si>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</si>
  <si>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</si>
  <si>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</si>
  <si>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</si>
  <si>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</si>
  <si>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</si>
  <si>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</si>
  <si>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</si>
  <si>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</si>
  <si>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</si>
  <si>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</si>
  <si>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</si>
  <si>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</si>
  <si>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</si>
  <si>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</si>
  <si>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</si>
  <si>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</si>
  <si>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</si>
  <si>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</si>
  <si>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</si>
  <si>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</si>
  <si>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</si>
  <si>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</si>
  <si>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</si>
  <si>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</si>
  <si>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</si>
  <si>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</si>
  <si>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</si>
  <si>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</si>
  <si>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</si>
  <si>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</si>
  <si>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</si>
  <si>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</si>
  <si>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</si>
  <si>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</si>
  <si>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</si>
  <si>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</si>
  <si>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</si>
  <si>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</si>
  <si>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</si>
  <si>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</si>
  <si>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</si>
  <si>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</si>
  <si>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</si>
  <si>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</si>
  <si>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</si>
  <si>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</si>
  <si>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</si>
  <si>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</si>
  <si>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</si>
  <si>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</si>
  <si>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</si>
  <si>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</si>
  <si>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</si>
  <si>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</si>
  <si>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</si>
  <si>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</si>
  <si>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</si>
  <si>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</si>
  <si>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</si>
  <si>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</si>
  <si>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</si>
  <si>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</si>
  <si>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</si>
  <si>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</si>
  <si>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</si>
  <si>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</si>
  <si>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</si>
  <si>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</si>
  <si>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</si>
  <si>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</si>
  <si>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</si>
  <si>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</si>
  <si>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</si>
  <si>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</si>
  <si>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</si>
  <si>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</si>
  <si>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</si>
  <si>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</si>
  <si>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</si>
  <si>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</si>
  <si>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</si>
  <si>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</si>
  <si>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</si>
  <si>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</si>
  <si>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</si>
  <si>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</si>
  <si>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</si>
  <si>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</si>
  <si>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</si>
  <si>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</si>
  <si>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</si>
  <si>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</si>
  <si>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</si>
  <si>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</si>
  <si>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</si>
  <si>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</si>
  <si>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</si>
  <si>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</si>
  <si>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</si>
  <si>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</si>
  <si>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</si>
  <si>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</si>
  <si>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</si>
  <si>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</si>
  <si>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</si>
  <si>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</si>
  <si>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</si>
  <si>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</si>
  <si>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</si>
  <si>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</si>
  <si>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</si>
  <si>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</si>
  <si>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</si>
  <si>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</si>
  <si>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</si>
  <si>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</si>
  <si>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</si>
  <si>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</si>
  <si>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</si>
  <si>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</si>
  <si>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</si>
  <si>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</si>
  <si>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</si>
  <si>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</si>
  <si>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</si>
  <si>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</si>
  <si>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</si>
  <si>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</si>
  <si>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</si>
  <si>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</si>
  <si>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</si>
  <si>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</si>
  <si>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</si>
  <si>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</si>
  <si>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</si>
  <si>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</si>
  <si>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</si>
  <si>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</si>
  <si>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</si>
  <si>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</si>
  <si>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</si>
  <si>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</si>
  <si>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</si>
  <si>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</si>
  <si>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</si>
  <si>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</si>
  <si>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</si>
  <si>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</si>
  <si>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</si>
  <si>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</si>
  <si>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</si>
  <si>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</si>
  <si>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</si>
  <si>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</si>
  <si>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</si>
  <si>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</si>
  <si>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</si>
  <si>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</si>
  <si>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</si>
  <si>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</si>
  <si>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</si>
  <si>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</si>
  <si>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</si>
  <si>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</si>
  <si>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</si>
  <si>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</si>
  <si>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</si>
  <si>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</si>
  <si>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</si>
  <si>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</si>
  <si>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</si>
  <si>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</si>
  <si>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</si>
  <si>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</si>
  <si>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</si>
  <si>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</si>
  <si>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</si>
  <si>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</si>
  <si>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</si>
  <si>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</si>
  <si>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</si>
  <si>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</si>
  <si>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</si>
  <si>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</si>
  <si>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</si>
  <si>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</si>
  <si>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</si>
  <si>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</si>
  <si>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</si>
  <si>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</si>
  <si>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</si>
  <si>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</si>
  <si>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</si>
  <si>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</si>
  <si>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</si>
  <si>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</si>
  <si>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</si>
  <si>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</si>
  <si>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</si>
  <si>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</si>
  <si>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</si>
  <si>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</si>
  <si>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</si>
  <si>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</si>
  <si>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</si>
  <si>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</si>
  <si>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</si>
  <si>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</si>
  <si>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</si>
  <si>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</si>
  <si>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</si>
  <si>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</si>
  <si>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</si>
  <si>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</si>
  <si>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</si>
  <si>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</si>
  <si>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</si>
  <si>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</si>
  <si>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</si>
  <si>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</si>
  <si>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</si>
  <si>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</si>
  <si>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</si>
  <si>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</si>
  <si>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</si>
  <si>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</si>
  <si>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</si>
  <si>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</si>
  <si>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</si>
  <si>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</si>
  <si>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</si>
  <si>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</si>
  <si>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</si>
  <si>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</si>
  <si>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</si>
  <si>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</si>
  <si>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</si>
  <si>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</si>
  <si>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</si>
  <si>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</si>
  <si>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</si>
  <si>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</si>
  <si>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</si>
  <si>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</si>
  <si>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</si>
  <si>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</si>
  <si>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</si>
  <si>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</si>
  <si>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</si>
  <si>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</si>
  <si>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</si>
  <si>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</si>
  <si>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</si>
  <si>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</si>
  <si>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</si>
  <si>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</si>
  <si>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</si>
  <si>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</si>
  <si>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</si>
  <si>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</si>
  <si>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</si>
  <si>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</si>
  <si>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</si>
  <si>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</si>
  <si>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</si>
  <si>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</si>
  <si>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</si>
  <si>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</si>
  <si>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</si>
  <si>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</si>
  <si>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</si>
  <si>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</si>
  <si>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</si>
  <si>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</si>
  <si>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</si>
  <si>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</si>
  <si>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</si>
  <si>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</si>
  <si>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</si>
  <si>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</si>
  <si>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</si>
  <si>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</si>
  <si>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</si>
  <si>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</si>
  <si>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</si>
  <si>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</si>
  <si>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</si>
  <si>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</si>
  <si>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</si>
  <si>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</si>
  <si>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</si>
  <si>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</si>
  <si>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</si>
  <si>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</si>
  <si>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</si>
  <si>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</si>
  <si>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</si>
  <si>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</si>
  <si>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</si>
  <si>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</si>
  <si>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</si>
  <si>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</si>
  <si>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</si>
  <si>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</si>
  <si>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</si>
  <si>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</si>
  <si>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</si>
  <si>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</si>
  <si>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</si>
  <si>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</si>
  <si>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</si>
  <si>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</si>
  <si>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</si>
  <si>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</si>
  <si>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</si>
  <si>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</si>
  <si>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</si>
  <si>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</si>
  <si>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</si>
  <si>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</si>
  <si>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</si>
  <si>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</si>
  <si>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</si>
  <si>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</si>
  <si>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</si>
  <si>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</si>
  <si>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</si>
  <si>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</si>
  <si>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</si>
  <si>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</si>
  <si>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</si>
  <si>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</si>
  <si>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</si>
  <si>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</si>
  <si>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</si>
  <si>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</si>
  <si>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</si>
  <si>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</si>
  <si>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</si>
  <si>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</si>
  <si>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</si>
  <si>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</si>
  <si>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</si>
  <si>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</si>
  <si>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</si>
  <si>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</si>
  <si>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</si>
  <si>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</si>
  <si>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</si>
  <si>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</si>
  <si>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</si>
  <si>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</si>
  <si>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</si>
  <si>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</si>
  <si>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</si>
  <si>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</si>
  <si>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</si>
  <si>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</si>
  <si>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</si>
  <si>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</si>
  <si>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</si>
  <si>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</si>
  <si>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</si>
  <si>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</si>
  <si>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</si>
  <si>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</si>
  <si>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</si>
  <si>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</si>
  <si>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</si>
  <si>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</si>
  <si>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</si>
  <si>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</si>
  <si>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</si>
  <si>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</si>
  <si>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</si>
  <si>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</si>
  <si>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</si>
  <si>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</si>
  <si>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</si>
  <si>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</si>
  <si>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</si>
  <si>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</si>
  <si>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</si>
  <si>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</si>
  <si>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</si>
  <si>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</si>
  <si>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</si>
  <si>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</si>
  <si>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</si>
  <si>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</si>
  <si>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</si>
  <si>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</si>
  <si>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</si>
  <si>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</si>
  <si>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</si>
  <si>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</si>
  <si>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</si>
  <si>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</si>
  <si>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</si>
  <si>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</si>
  <si>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</si>
  <si>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</si>
  <si>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</si>
  <si>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</si>
  <si>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</si>
  <si>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</si>
  <si>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</si>
  <si>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</si>
  <si>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</si>
  <si>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</si>
  <si>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</si>
  <si>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</si>
  <si>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</si>
  <si>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</si>
  <si>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</si>
  <si>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</si>
  <si>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</si>
  <si>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</si>
  <si>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</si>
  <si>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</si>
  <si>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</si>
  <si>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</si>
  <si>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</si>
  <si>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</si>
  <si>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</si>
  <si>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</si>
  <si>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</si>
  <si>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</si>
  <si>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</si>
  <si>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</si>
  <si>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</si>
  <si>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</si>
  <si>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</si>
  <si>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</si>
  <si>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</si>
  <si>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</si>
  <si>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</si>
  <si>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</si>
  <si>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</si>
  <si>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</si>
  <si>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</si>
  <si>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</si>
  <si>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</si>
  <si>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</si>
  <si>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</si>
  <si>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</si>
  <si>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</si>
  <si>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</si>
  <si>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</si>
  <si>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</si>
  <si>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</si>
  <si>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</si>
  <si>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</si>
  <si>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</si>
  <si>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</si>
  <si>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</si>
  <si>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</si>
  <si>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</si>
  <si>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</si>
  <si>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</si>
  <si>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</si>
  <si>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</si>
  <si>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</si>
  <si>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</si>
  <si>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</si>
  <si>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</si>
  <si>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</si>
  <si>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</si>
  <si>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</si>
  <si>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</si>
  <si>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</si>
  <si>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</si>
  <si>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</si>
  <si>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</si>
  <si>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</si>
  <si>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</si>
  <si>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</si>
  <si>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</si>
  <si>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</si>
  <si>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</si>
  <si>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</si>
  <si>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</si>
  <si>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</si>
  <si>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</si>
  <si>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</si>
  <si>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</si>
  <si>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</si>
  <si>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</si>
  <si>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</si>
  <si>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</si>
  <si>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</si>
  <si>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</si>
  <si>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</si>
  <si>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</si>
  <si>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</si>
  <si>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</si>
  <si>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</si>
  <si>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</si>
  <si>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</si>
  <si>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</si>
  <si>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</si>
  <si>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</si>
  <si>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</si>
  <si>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</si>
  <si>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</si>
  <si>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</si>
  <si>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</si>
  <si>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</si>
  <si>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</si>
  <si>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</si>
  <si>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</si>
  <si>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</si>
  <si>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</si>
  <si>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</si>
  <si>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</si>
  <si>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</si>
  <si>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</si>
  <si>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</si>
  <si>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</si>
  <si>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</si>
  <si>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</si>
  <si>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</si>
  <si>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</si>
  <si>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</si>
  <si>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</si>
  <si>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</si>
  <si>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</si>
  <si>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</si>
  <si>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</si>
  <si>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</si>
  <si>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</si>
  <si>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</si>
  <si>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</si>
  <si>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</si>
  <si>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</si>
  <si>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</si>
  <si>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</si>
  <si>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</si>
  <si>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</si>
  <si>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</si>
  <si>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</si>
  <si>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</si>
  <si>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</si>
  <si>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</si>
  <si>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</si>
  <si>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</si>
  <si>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</si>
  <si>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</si>
  <si>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</si>
  <si>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</si>
  <si>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</si>
  <si>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</si>
  <si>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</si>
  <si>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</si>
  <si>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</si>
  <si>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</si>
  <si>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</si>
  <si>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</si>
  <si>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</si>
  <si>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</si>
  <si>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</si>
  <si>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</si>
  <si>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</si>
  <si>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</si>
  <si>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</si>
  <si>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</si>
  <si>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</si>
  <si>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</si>
  <si>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</si>
  <si>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</si>
  <si>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</si>
  <si>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</si>
  <si>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</si>
  <si>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</si>
  <si>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</si>
  <si>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</si>
  <si>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</si>
  <si>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</si>
  <si>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</si>
  <si>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</si>
  <si>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</si>
  <si>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</si>
  <si>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</si>
  <si>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</si>
  <si>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</si>
  <si>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</si>
  <si>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</si>
  <si>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</si>
  <si>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</si>
  <si>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</si>
  <si>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</si>
  <si>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</si>
  <si>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</si>
  <si>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</si>
  <si>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</si>
  <si>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</si>
  <si>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</si>
  <si>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</si>
  <si>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</si>
  <si>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</si>
  <si>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</si>
  <si>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</si>
  <si>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</si>
  <si>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</si>
  <si>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</si>
  <si>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</si>
  <si>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</si>
  <si>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</si>
  <si>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</si>
  <si>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</si>
  <si>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</si>
  <si>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</si>
  <si>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</si>
  <si>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</si>
  <si>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</si>
  <si>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</si>
  <si>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</si>
  <si>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</si>
  <si>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</si>
  <si>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</si>
  <si>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</si>
  <si>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</si>
  <si>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</si>
  <si>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</si>
  <si>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</si>
  <si>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</si>
  <si>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</si>
  <si>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</si>
  <si>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</si>
  <si>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</si>
  <si>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</si>
  <si>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</si>
  <si>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</si>
  <si>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</si>
  <si>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</si>
  <si>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</si>
  <si>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</si>
  <si>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</si>
  <si>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</si>
  <si>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</si>
  <si>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</si>
  <si>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</si>
  <si>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</si>
  <si>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</si>
  <si>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</si>
  <si>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</si>
  <si>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</si>
  <si>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</si>
  <si>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</si>
  <si>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</si>
  <si>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</si>
  <si>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</si>
  <si>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</si>
  <si>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</si>
  <si>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</si>
  <si>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</si>
  <si>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</si>
  <si>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</si>
  <si>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</si>
  <si>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</si>
  <si>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</si>
  <si>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</si>
  <si>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</si>
  <si>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</si>
  <si>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</si>
  <si>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</si>
  <si>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</si>
  <si>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</si>
  <si>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</si>
  <si>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</si>
  <si>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</si>
  <si>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</si>
  <si>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</si>
  <si>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</si>
  <si>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</si>
  <si>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</si>
  <si>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</si>
  <si>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</si>
  <si>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</si>
  <si>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</si>
  <si>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</si>
  <si>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</si>
  <si>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</si>
  <si>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</si>
  <si>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</si>
  <si>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</si>
  <si>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</si>
  <si>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</si>
  <si>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</si>
  <si>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</si>
  <si>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</si>
  <si>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</si>
  <si>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</si>
  <si>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</si>
  <si>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</si>
  <si>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</si>
  <si>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</si>
  <si>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</si>
  <si>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</si>
  <si>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</si>
  <si>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</si>
  <si>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</si>
  <si>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</si>
  <si>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</si>
  <si>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</si>
  <si>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</si>
  <si>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</si>
  <si>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</si>
  <si>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</si>
  <si>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</si>
  <si>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</si>
  <si>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</si>
  <si>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</si>
  <si>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</si>
  <si>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</si>
  <si>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</si>
  <si>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</si>
  <si>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</si>
  <si>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</si>
  <si>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</si>
  <si>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</si>
  <si>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</si>
  <si>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</si>
  <si>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</si>
  <si>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</si>
  <si>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</si>
  <si>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</si>
  <si>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</si>
  <si>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</si>
  <si>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</si>
  <si>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</si>
  <si>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</si>
  <si>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</si>
  <si>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</si>
  <si>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</si>
  <si>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</si>
  <si>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</si>
  <si>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</si>
  <si>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</si>
  <si>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</si>
  <si>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</si>
  <si>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</si>
  <si>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</si>
  <si>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</si>
  <si>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</si>
  <si>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</si>
  <si>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</si>
  <si>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</si>
  <si>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</si>
  <si>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</si>
  <si>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</si>
  <si>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</si>
  <si>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</si>
  <si>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</si>
  <si>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</si>
  <si>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</si>
  <si>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</si>
  <si>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</si>
  <si>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</si>
  <si>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</si>
  <si>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</si>
  <si>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</si>
  <si>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</si>
  <si>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</si>
  <si>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</si>
  <si>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</si>
  <si>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</si>
  <si>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</si>
  <si>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</si>
  <si>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</si>
  <si>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</si>
  <si>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</si>
  <si>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</si>
  <si>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</si>
  <si>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</si>
  <si>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</si>
  <si>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</si>
  <si>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</si>
  <si>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</si>
  <si>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</si>
  <si>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</si>
  <si>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</si>
  <si>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</si>
  <si>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</si>
  <si>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</si>
  <si>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</si>
  <si>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</si>
  <si>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</si>
  <si>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</si>
  <si>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</si>
  <si>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</si>
  <si>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</si>
  <si>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</si>
  <si>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</si>
  <si>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</si>
  <si>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</si>
  <si>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</si>
  <si>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</si>
  <si>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</si>
  <si>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</si>
  <si>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</si>
  <si>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</si>
  <si>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</si>
  <si>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</si>
  <si>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</si>
  <si>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</si>
  <si>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</si>
  <si>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</si>
  <si>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</si>
  <si>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</si>
  <si>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</si>
  <si>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</si>
  <si>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</si>
  <si>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</si>
  <si>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</si>
  <si>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</si>
  <si>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</si>
  <si>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</si>
  <si>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</si>
  <si>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</si>
  <si>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</si>
  <si>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</si>
  <si>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</si>
  <si>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</si>
  <si>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</si>
  <si>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</si>
  <si>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</si>
  <si>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</si>
  <si>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</si>
  <si>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</si>
  <si>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</si>
  <si>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</si>
  <si>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</si>
  <si>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</si>
  <si>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</si>
  <si>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</si>
  <si>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</si>
  <si>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</si>
  <si>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</si>
  <si>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</si>
  <si>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</si>
  <si>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</si>
  <si>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</si>
  <si>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</si>
  <si>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</si>
  <si>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</si>
  <si>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</si>
  <si>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</si>
  <si>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</si>
  <si>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</si>
  <si>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</si>
  <si>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</si>
  <si>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</si>
  <si>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</si>
  <si>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</si>
  <si>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</si>
  <si>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</si>
  <si>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</si>
  <si>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</si>
  <si>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</si>
  <si>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</si>
  <si>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</si>
  <si>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</si>
  <si>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</si>
  <si>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</si>
  <si>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</si>
  <si>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</si>
  <si>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</si>
  <si>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</si>
  <si>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</si>
  <si>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</si>
  <si>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</si>
  <si>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</si>
  <si>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</si>
  <si>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</si>
  <si>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</si>
  <si>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</si>
  <si>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</si>
  <si>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</si>
  <si>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</si>
  <si>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</si>
  <si>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</si>
  <si>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</si>
  <si>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</si>
  <si>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</si>
  <si>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</si>
  <si>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</si>
  <si>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</si>
  <si>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</si>
  <si>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</si>
  <si>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</si>
  <si>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</si>
  <si>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</si>
  <si>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</si>
  <si>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</si>
  <si>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</si>
  <si>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</si>
  <si>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</si>
  <si>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</si>
  <si>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</si>
  <si>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</si>
  <si>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</si>
  <si>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</si>
  <si>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</si>
  <si>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</si>
  <si>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</si>
  <si>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</si>
  <si>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</si>
  <si>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</si>
  <si>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</si>
  <si>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</si>
  <si>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</si>
  <si>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</si>
  <si>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</si>
  <si>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</si>
  <si>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</si>
  <si>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</si>
  <si>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</si>
  <si>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</si>
  <si>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</si>
  <si>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</si>
  <si>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</si>
  <si>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</si>
  <si>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</si>
  <si>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</si>
  <si>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</si>
  <si>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</si>
  <si>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</si>
  <si>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</si>
  <si>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</si>
  <si>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</si>
  <si>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</si>
  <si>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</si>
  <si>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</si>
  <si>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</si>
  <si>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</si>
  <si>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</si>
  <si>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</si>
  <si>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</si>
  <si>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</si>
  <si>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</si>
  <si>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</si>
  <si>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</si>
  <si>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</si>
  <si>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</si>
  <si>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</si>
  <si>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</si>
  <si>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</si>
  <si>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</si>
  <si>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</si>
  <si>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</si>
  <si>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</si>
  <si>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</si>
  <si>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</si>
  <si>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</si>
  <si>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</si>
  <si>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</si>
  <si>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</si>
  <si>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</si>
  <si>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</si>
  <si>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</si>
  <si>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</si>
  <si>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</si>
  <si>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</si>
  <si>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</si>
  <si>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</si>
  <si>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</si>
  <si>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</si>
  <si>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</si>
  <si>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</si>
  <si>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</si>
  <si>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</si>
  <si>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</si>
  <si>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</si>
  <si>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</si>
  <si>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</si>
  <si>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</si>
  <si>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</si>
  <si>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</si>
  <si>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</si>
  <si>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</si>
  <si>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</si>
  <si>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</si>
  <si>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</si>
  <si>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</si>
  <si>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</si>
  <si>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</si>
  <si>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</si>
  <si>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</si>
  <si>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</si>
  <si>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</si>
  <si>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</si>
  <si>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</si>
  <si>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</si>
  <si>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</si>
  <si>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</si>
  <si>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</si>
  <si>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</si>
  <si>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</si>
  <si>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</si>
  <si>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</si>
  <si>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</si>
  <si>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</si>
  <si>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</si>
  <si>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</si>
  <si>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</si>
  <si>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</si>
  <si>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</si>
  <si>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</si>
  <si>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</si>
  <si>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</si>
  <si>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</si>
  <si>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</si>
  <si>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</si>
  <si>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</si>
  <si>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</si>
  <si>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</si>
  <si>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</si>
  <si>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</si>
  <si>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</si>
  <si>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</si>
  <si>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</si>
  <si>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</si>
  <si>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</si>
  <si>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</si>
  <si>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</si>
  <si>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</si>
  <si>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</si>
  <si>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</si>
  <si>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</si>
  <si>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</si>
  <si>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</si>
  <si>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</si>
  <si>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</si>
  <si>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</si>
  <si>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</si>
  <si>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</si>
  <si>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</si>
  <si>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</si>
  <si>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</si>
  <si>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</si>
  <si>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</si>
  <si>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</si>
  <si>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</si>
  <si>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</si>
  <si>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</si>
  <si>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</si>
  <si>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</si>
  <si>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</si>
  <si>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</si>
  <si>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</si>
  <si>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</si>
  <si>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</si>
  <si>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</si>
  <si>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</si>
  <si>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</si>
  <si>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</si>
  <si>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</si>
  <si>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</si>
  <si>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</si>
  <si>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</si>
  <si>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</si>
  <si>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</si>
  <si>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</si>
  <si>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</si>
  <si>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</si>
  <si>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</si>
  <si>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</si>
  <si>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</si>
  <si>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</si>
  <si>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</si>
  <si>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</si>
  <si>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</si>
  <si>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</si>
  <si>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</si>
  <si>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</si>
  <si>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</si>
  <si>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</si>
  <si>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</si>
  <si>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</si>
  <si>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</si>
  <si>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</si>
  <si>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</si>
  <si>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</si>
  <si>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</si>
  <si>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</si>
  <si>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</si>
  <si>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</si>
  <si>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</si>
  <si>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</si>
  <si>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</si>
  <si>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</si>
  <si>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</si>
  <si>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</si>
  <si>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</si>
  <si>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</si>
  <si>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</si>
  <si>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</si>
  <si>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</si>
  <si>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</si>
  <si>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</si>
  <si>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</si>
  <si>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</si>
  <si>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</si>
  <si>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</si>
  <si>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</si>
  <si>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</si>
  <si>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</si>
  <si>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</si>
  <si>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</si>
  <si>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</si>
  <si>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</si>
  <si>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</si>
  <si>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</si>
  <si>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</si>
  <si>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</si>
  <si>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</si>
  <si>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</si>
  <si>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</si>
  <si>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</si>
  <si>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</si>
  <si>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</si>
  <si>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</si>
  <si>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</si>
  <si>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</si>
  <si>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</si>
  <si>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</si>
  <si>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</si>
  <si>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</si>
  <si>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</si>
  <si>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</si>
  <si>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</si>
  <si>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</si>
  <si>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</si>
  <si>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</si>
  <si>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</si>
  <si>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</si>
  <si>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</si>
  <si>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</si>
  <si>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</si>
  <si>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</si>
  <si>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</si>
  <si>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</si>
  <si>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</si>
  <si>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</si>
  <si>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</si>
  <si>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</si>
  <si>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</si>
  <si>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</si>
  <si>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</si>
  <si>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</si>
  <si>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</si>
  <si>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</si>
  <si>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</si>
  <si>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</si>
  <si>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</si>
  <si>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</si>
  <si>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</si>
  <si>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</si>
  <si>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</si>
  <si>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</si>
  <si>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</si>
  <si>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</si>
  <si>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</si>
  <si>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</si>
  <si>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</si>
  <si>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</si>
  <si>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</si>
  <si>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</si>
  <si>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</si>
  <si>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</si>
  <si>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</si>
  <si>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</si>
  <si>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</si>
  <si>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</si>
  <si>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</si>
  <si>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</si>
  <si>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</si>
  <si>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</si>
  <si>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</si>
  <si>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</si>
  <si>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</si>
  <si>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</si>
  <si>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</si>
  <si>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</si>
  <si>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</si>
  <si>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</si>
  <si>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</si>
  <si>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</si>
  <si>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</si>
  <si>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</si>
  <si>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</si>
  <si>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</si>
  <si>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</si>
  <si>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</si>
  <si>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</si>
  <si>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</si>
  <si>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</si>
  <si>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</si>
  <si>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</si>
  <si>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</si>
  <si>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</si>
  <si>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</si>
  <si>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</si>
  <si>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</si>
  <si>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</si>
  <si>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</si>
  <si>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</si>
  <si>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</si>
  <si>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</si>
  <si>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</si>
  <si>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</si>
  <si>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</si>
  <si>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</si>
  <si>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</si>
  <si>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</si>
  <si>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</si>
  <si>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</si>
  <si>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</si>
  <si>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</si>
  <si>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</si>
  <si>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</si>
  <si>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</si>
  <si>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</si>
  <si>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</si>
  <si>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</si>
  <si>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</si>
  <si>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</si>
  <si>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</si>
  <si>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</si>
  <si>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</si>
  <si>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</si>
  <si>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</si>
  <si>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</si>
  <si>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</si>
  <si>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</si>
  <si>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</si>
  <si>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</si>
  <si>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</si>
  <si>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</si>
  <si>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</si>
  <si>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</si>
  <si>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</si>
  <si>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</si>
  <si>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</si>
  <si>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</si>
  <si>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</si>
  <si>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</si>
  <si>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</si>
  <si>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</si>
  <si>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</si>
  <si>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</si>
  <si>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</si>
  <si>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</si>
  <si>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</si>
  <si>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</si>
  <si>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</si>
  <si>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</si>
  <si>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</si>
  <si>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</si>
  <si>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</si>
  <si>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</si>
  <si>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</si>
  <si>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</si>
  <si>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</si>
  <si>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</si>
  <si>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</si>
  <si>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</si>
  <si>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</si>
  <si>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</si>
  <si>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</si>
  <si>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</si>
  <si>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</si>
  <si>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</si>
  <si>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</si>
  <si>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</si>
  <si>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</si>
  <si>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</si>
  <si>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</si>
  <si>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</si>
  <si>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</si>
  <si>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</si>
  <si>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</si>
  <si>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</si>
  <si>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</si>
  <si>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</si>
  <si>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</si>
  <si>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</si>
  <si>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</si>
  <si>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</si>
  <si>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</si>
  <si>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</si>
  <si>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</si>
  <si>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</si>
  <si>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</si>
  <si>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</si>
  <si>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</si>
  <si>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</si>
  <si>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</si>
  <si>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</si>
  <si>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</si>
  <si>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</si>
  <si>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</si>
  <si>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</si>
  <si>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</si>
  <si>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</si>
  <si>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</si>
  <si>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</si>
  <si>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</si>
  <si>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</si>
  <si>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</si>
  <si>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</si>
  <si>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</si>
  <si>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</si>
  <si>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</si>
  <si>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</si>
  <si>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</si>
  <si>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</si>
  <si>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</si>
  <si>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</si>
  <si>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</si>
  <si>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</si>
  <si>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</si>
  <si>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</si>
  <si>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</si>
  <si>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</si>
  <si>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</si>
  <si>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</si>
  <si>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</si>
  <si>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</si>
  <si>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</si>
  <si>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</si>
  <si>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</si>
  <si>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</si>
  <si>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</si>
  <si>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</si>
  <si>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</si>
  <si>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</si>
  <si>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</si>
  <si>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</si>
  <si>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</si>
  <si>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</si>
  <si>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</si>
  <si>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</si>
  <si>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</si>
  <si>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</si>
  <si>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</si>
  <si>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</si>
  <si>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</si>
  <si>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</si>
  <si>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</si>
  <si>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</si>
  <si>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</si>
  <si>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</si>
  <si>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</si>
  <si>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</si>
  <si>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</si>
  <si>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</si>
  <si>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</si>
  <si>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</si>
  <si>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</si>
  <si>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</si>
  <si>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</si>
  <si>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</si>
  <si>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</si>
  <si>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</si>
  <si>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</si>
  <si>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</si>
  <si>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</si>
  <si>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</si>
  <si>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</si>
  <si>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</si>
  <si>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</si>
  <si>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</si>
  <si>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</si>
  <si>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</si>
  <si>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</si>
  <si>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</si>
  <si>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</si>
  <si>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</si>
  <si>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</si>
  <si>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</si>
  <si>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</si>
  <si>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</si>
  <si>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</si>
  <si>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</si>
  <si>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</si>
  <si>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</si>
  <si>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</si>
  <si>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</si>
  <si>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</si>
  <si>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</si>
  <si>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</si>
  <si>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</si>
  <si>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</si>
  <si>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</si>
  <si>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</si>
  <si>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</si>
  <si>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</si>
  <si>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</si>
  <si>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</si>
  <si>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</si>
  <si>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</si>
  <si>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</si>
  <si>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</si>
  <si>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</si>
  <si>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</si>
  <si>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</si>
  <si>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</si>
  <si>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</si>
  <si>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</si>
  <si>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</si>
  <si>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</si>
  <si>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</si>
  <si>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</si>
  <si>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</si>
  <si>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</si>
  <si>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</si>
  <si>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</si>
  <si>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</si>
  <si>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</si>
  <si>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</si>
  <si>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</si>
  <si>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</si>
  <si>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</si>
  <si>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</si>
  <si>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</si>
  <si>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</si>
  <si>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</si>
  <si>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</si>
  <si>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</si>
  <si>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</si>
  <si>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</si>
  <si>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</si>
  <si>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</si>
  <si>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</si>
  <si>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</si>
  <si>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</si>
  <si>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</si>
  <si>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</si>
  <si>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</si>
  <si>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</si>
  <si>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</si>
  <si>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</si>
  <si>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</si>
  <si>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</si>
  <si>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</si>
  <si>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</si>
  <si>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</si>
  <si>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</si>
  <si>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</si>
  <si>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</si>
  <si>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</si>
  <si>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</si>
  <si>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</si>
  <si>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</si>
  <si>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</si>
  <si>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</si>
  <si>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</si>
  <si>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</si>
  <si>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</si>
  <si>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</si>
  <si>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</si>
  <si>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</si>
  <si>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</si>
  <si>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</si>
  <si>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</si>
  <si>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</si>
  <si>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</si>
  <si>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</si>
  <si>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</si>
  <si>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</si>
  <si>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</si>
  <si>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</si>
  <si>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</si>
  <si>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</si>
  <si>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</si>
  <si>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</si>
  <si>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</si>
  <si>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</si>
  <si>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</si>
  <si>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</si>
  <si>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</si>
  <si>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</si>
  <si>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</si>
  <si>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</si>
  <si>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</si>
  <si>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</si>
  <si>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</si>
  <si>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</si>
  <si>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</si>
  <si>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</si>
  <si>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</si>
  <si>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</si>
  <si>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</si>
  <si>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</si>
  <si>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</si>
  <si>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</si>
  <si>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</si>
  <si>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</si>
  <si>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</si>
  <si>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</si>
  <si>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</si>
  <si>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</si>
  <si>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</si>
  <si>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</si>
  <si>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</si>
  <si>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</si>
  <si>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</si>
  <si>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</si>
  <si>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</si>
  <si>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</si>
  <si>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</si>
  <si>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</si>
  <si>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</si>
  <si>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</si>
  <si>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</si>
  <si>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</si>
  <si>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</si>
  <si>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</si>
  <si>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</si>
  <si>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</si>
  <si>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</si>
  <si>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</si>
  <si>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</si>
  <si>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</si>
  <si>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</si>
  <si>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</si>
  <si>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</si>
  <si>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</si>
  <si>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</si>
  <si>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</si>
  <si>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</si>
  <si>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</si>
  <si>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</si>
  <si>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</si>
  <si>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</si>
  <si>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</si>
  <si>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</si>
  <si>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</si>
  <si>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</si>
  <si>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</si>
  <si>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</si>
  <si>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</si>
  <si>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</si>
  <si>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</si>
  <si>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</si>
  <si>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</si>
  <si>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</si>
  <si>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</si>
  <si>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</si>
  <si>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</si>
  <si>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</si>
  <si>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</si>
  <si>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</si>
  <si>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</si>
  <si>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</si>
  <si>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</si>
  <si>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</si>
  <si>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</si>
  <si>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</si>
  <si>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</si>
  <si>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</si>
  <si>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</si>
  <si>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</si>
  <si>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</si>
  <si>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</si>
  <si>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</si>
  <si>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</si>
  <si>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</si>
  <si>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</si>
  <si>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</si>
  <si>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</si>
  <si>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</si>
  <si>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</si>
  <si>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</si>
  <si>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</si>
  <si>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</si>
  <si>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</si>
  <si>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</si>
  <si>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</si>
  <si>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</si>
  <si>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</si>
  <si>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</si>
  <si>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</si>
  <si>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</si>
  <si>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</si>
  <si>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</si>
  <si>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</si>
  <si>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</si>
  <si>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</si>
  <si>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</si>
  <si>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</si>
  <si>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</si>
  <si>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</si>
  <si>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</si>
  <si>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</si>
  <si>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</si>
  <si>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</si>
  <si>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</si>
  <si>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</si>
  <si>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</si>
  <si>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</si>
  <si>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</si>
  <si>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</si>
  <si>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</si>
  <si>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</si>
  <si>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</si>
  <si>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</si>
  <si>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</si>
  <si>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</si>
  <si>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</si>
  <si>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</si>
  <si>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</si>
  <si>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</si>
  <si>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</si>
  <si>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</si>
  <si>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</si>
  <si>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</si>
  <si>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</si>
  <si>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</si>
  <si>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</si>
  <si>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</si>
  <si>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</si>
  <si>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</si>
  <si>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</si>
  <si>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</si>
  <si>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</si>
  <si>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</si>
  <si>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</si>
  <si>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</si>
  <si>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</si>
  <si>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</si>
  <si>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</si>
  <si>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</si>
  <si>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</si>
  <si>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</si>
  <si>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</si>
  <si>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</si>
  <si>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</si>
  <si>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</si>
  <si>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</si>
  <si>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</si>
  <si>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</si>
  <si>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</si>
  <si>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</si>
  <si>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</si>
  <si>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</si>
  <si>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</si>
  <si>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</si>
  <si>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</si>
  <si>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</si>
  <si>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</si>
  <si>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</si>
  <si>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</si>
  <si>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</si>
  <si>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</si>
  <si>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</si>
  <si>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</si>
  <si>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</si>
  <si>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</si>
  <si>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</si>
  <si>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</si>
  <si>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</si>
  <si>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</si>
  <si>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</si>
  <si>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</si>
  <si>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</si>
  <si>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</si>
  <si>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</si>
  <si>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</si>
  <si>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</si>
  <si>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</si>
  <si>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</si>
  <si>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</si>
  <si>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</si>
  <si>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</si>
  <si>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</si>
  <si>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</si>
  <si>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</si>
  <si>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</si>
  <si>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</si>
  <si>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</si>
  <si>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</si>
  <si>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</si>
  <si>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</si>
  <si>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</si>
  <si>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</si>
  <si>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</si>
  <si>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</si>
  <si>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</si>
  <si>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</si>
  <si>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</si>
  <si>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</si>
  <si>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</si>
  <si>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</si>
  <si>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</si>
  <si>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</si>
  <si>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</si>
  <si>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</si>
  <si>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</si>
  <si>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</si>
  <si>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</si>
  <si>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</si>
  <si>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</si>
  <si>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</si>
  <si>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</si>
  <si>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</si>
  <si>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</si>
  <si>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</si>
  <si>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</si>
  <si>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</si>
  <si>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</si>
  <si>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</si>
  <si>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</si>
  <si>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</si>
  <si>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</si>
  <si>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</si>
  <si>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</si>
  <si>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</si>
  <si>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</si>
  <si>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</si>
  <si>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</si>
  <si>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</si>
  <si>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</si>
  <si>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</si>
  <si>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</si>
  <si>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</si>
  <si>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</si>
  <si>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</si>
  <si>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</si>
  <si>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</si>
  <si>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</si>
  <si>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</si>
  <si>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</si>
  <si>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</si>
  <si>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</si>
  <si>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</si>
  <si>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</si>
  <si>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</si>
  <si>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</si>
  <si>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</si>
  <si>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</si>
  <si>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</si>
  <si>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</si>
  <si>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</si>
  <si>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</si>
  <si>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</si>
  <si>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</si>
  <si>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</si>
  <si>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</si>
  <si>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</si>
  <si>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</si>
  <si>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</si>
  <si>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</si>
  <si>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</si>
  <si>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</si>
  <si>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</si>
  <si>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</si>
  <si>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</si>
  <si>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</si>
  <si>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</si>
  <si>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</si>
  <si>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</si>
  <si>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</si>
  <si>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</si>
  <si>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</si>
  <si>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</si>
  <si>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</si>
  <si>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</si>
  <si>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</si>
  <si>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</si>
  <si>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</si>
  <si>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</si>
  <si>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</si>
  <si>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</si>
  <si>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</si>
  <si>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</si>
  <si>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</si>
  <si>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</si>
  <si>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</si>
  <si>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</si>
  <si>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</si>
  <si>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</si>
  <si>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</si>
  <si>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</si>
  <si>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</si>
  <si>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</si>
  <si>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</si>
  <si>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</si>
  <si>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</si>
  <si>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</si>
  <si>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</si>
  <si>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</si>
  <si>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</si>
  <si>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</si>
  <si>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</si>
  <si>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</si>
  <si>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</si>
  <si>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</si>
  <si>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</si>
  <si>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</si>
  <si>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</si>
  <si>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</si>
  <si>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</si>
  <si>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</si>
  <si>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</si>
  <si>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</si>
  <si>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</si>
  <si>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</si>
  <si>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</si>
  <si>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</si>
  <si>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</si>
  <si>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</si>
  <si>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</si>
  <si>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</si>
  <si>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</si>
  <si>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</si>
  <si>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</si>
  <si>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</si>
  <si>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</si>
  <si>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</si>
  <si>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</si>
  <si>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</si>
  <si>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</si>
  <si>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</si>
  <si>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</si>
  <si>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</si>
  <si>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</si>
  <si>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</si>
  <si>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</si>
  <si>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</si>
  <si>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</si>
  <si>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</si>
  <si>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</si>
  <si>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</si>
  <si>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</si>
  <si>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</si>
  <si>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</si>
  <si>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</si>
  <si>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</si>
  <si>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</si>
  <si>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</si>
  <si>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</si>
  <si>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</si>
  <si>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</si>
  <si>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</si>
  <si>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</si>
  <si>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</si>
  <si>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</si>
  <si>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</si>
  <si>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</si>
  <si>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</si>
  <si>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</si>
  <si>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</si>
  <si>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</si>
  <si>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</si>
  <si>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</si>
  <si>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</si>
  <si>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</si>
  <si>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</si>
  <si>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</si>
  <si>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</si>
  <si>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</si>
  <si>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</si>
  <si>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</si>
  <si>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</si>
  <si>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</si>
  <si>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</si>
  <si>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</si>
  <si>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</si>
  <si>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</si>
  <si>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</si>
  <si>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</si>
  <si>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</si>
  <si>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</si>
  <si>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</si>
  <si>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</si>
  <si>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</si>
  <si>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</si>
  <si>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</si>
  <si>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</si>
  <si>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</si>
  <si>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</si>
  <si>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</si>
  <si>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</si>
  <si>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</si>
  <si>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</si>
  <si>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</si>
  <si>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</si>
  <si>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</si>
  <si>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</si>
  <si>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</si>
  <si>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</si>
  <si>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</si>
  <si>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</si>
  <si>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</si>
  <si>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</si>
  <si>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</si>
  <si>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</si>
  <si>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</si>
  <si>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</si>
  <si>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</si>
  <si>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</si>
  <si>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</si>
  <si>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</si>
  <si>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</si>
  <si>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</si>
  <si>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</si>
  <si>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</si>
  <si>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</si>
  <si>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</si>
  <si>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</si>
  <si>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</si>
  <si>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</si>
  <si>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</si>
  <si>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</si>
  <si>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</si>
  <si>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</si>
  <si>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</si>
  <si>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</si>
  <si>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</si>
  <si>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</si>
  <si>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</si>
  <si>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</si>
  <si>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</si>
  <si>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</si>
  <si>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</si>
  <si>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</si>
  <si>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</si>
  <si>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</si>
  <si>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</si>
  <si>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</si>
  <si>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</si>
  <si>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</si>
  <si>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</si>
  <si>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</si>
  <si>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</si>
  <si>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</si>
  <si>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</si>
  <si>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</si>
  <si>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</si>
  <si>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</si>
  <si>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</si>
  <si>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</si>
  <si>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</si>
  <si>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</si>
  <si>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</si>
  <si>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</si>
  <si>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</si>
  <si>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</si>
  <si>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</si>
  <si>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</si>
  <si>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</si>
  <si>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</si>
  <si>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</si>
  <si>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</si>
  <si>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</si>
  <si>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</si>
  <si>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</si>
  <si>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</si>
  <si>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</si>
  <si>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</si>
  <si>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</si>
  <si>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</si>
  <si>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</si>
  <si>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</si>
  <si>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</si>
  <si>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</si>
  <si>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</si>
  <si>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</si>
  <si>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</si>
  <si>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</si>
  <si>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</si>
  <si>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</si>
  <si>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</si>
  <si>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</si>
  <si>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</si>
  <si>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</si>
  <si>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</si>
  <si>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</si>
  <si>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</si>
  <si>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</si>
  <si>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</si>
  <si>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</si>
  <si>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</si>
  <si>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</si>
  <si>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</si>
  <si>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</si>
  <si>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</si>
  <si>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</si>
  <si>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</si>
  <si>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</si>
  <si>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</si>
  <si>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</si>
  <si>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</si>
  <si>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</si>
  <si>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</si>
  <si>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</si>
  <si>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</si>
  <si>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</si>
  <si>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</si>
  <si>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</si>
  <si>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</si>
  <si>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</si>
  <si>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</si>
  <si>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</si>
  <si>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</si>
  <si>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</si>
  <si>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</si>
  <si>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</si>
  <si>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</si>
  <si>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</si>
  <si>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</si>
  <si>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</si>
  <si>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</si>
  <si>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</si>
  <si>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</si>
  <si>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</si>
  <si>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</si>
  <si>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</si>
  <si>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</si>
  <si>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</si>
  <si>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</si>
  <si>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</si>
  <si>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</si>
  <si>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</si>
  <si>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</si>
  <si>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</si>
  <si>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</si>
  <si>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</si>
  <si>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</si>
  <si>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</si>
  <si>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</si>
  <si>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</si>
  <si>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</si>
  <si>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</si>
  <si>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</si>
  <si>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</si>
  <si>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</si>
  <si>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</si>
  <si>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</si>
  <si>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</si>
  <si>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</si>
  <si>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</si>
  <si>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</si>
  <si>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</si>
  <si>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</si>
  <si>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</si>
  <si>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</si>
  <si>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</si>
  <si>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</si>
  <si>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</si>
  <si>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</si>
  <si>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</si>
  <si>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</si>
  <si>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</si>
  <si>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</si>
  <si>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</si>
  <si>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</si>
  <si>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</si>
  <si>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</si>
  <si>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</si>
  <si>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</si>
  <si>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</si>
  <si>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</si>
  <si>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</si>
  <si>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</si>
  <si>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</si>
  <si>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</si>
  <si>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</si>
  <si>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</si>
  <si>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</si>
  <si>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</si>
  <si>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</si>
  <si>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</si>
  <si>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</si>
  <si>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</si>
  <si>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</si>
  <si>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</si>
  <si>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</si>
  <si>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</si>
  <si>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</si>
  <si>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</si>
  <si>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</si>
  <si>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</si>
  <si>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</si>
  <si>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</si>
  <si>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</si>
  <si>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</si>
  <si>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</si>
  <si>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</si>
  <si>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</si>
  <si>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</si>
  <si>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</si>
  <si>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</si>
  <si>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</si>
  <si>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</si>
  <si>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</si>
  <si>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</si>
  <si>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</si>
  <si>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</si>
  <si>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</si>
  <si>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</si>
  <si>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</si>
  <si>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</si>
  <si>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</si>
  <si>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</si>
  <si>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</si>
  <si>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</si>
  <si>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</si>
  <si>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</si>
  <si>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</si>
  <si>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</si>
  <si>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</si>
  <si>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</si>
  <si>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</si>
  <si>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</si>
  <si>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</si>
  <si>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</si>
  <si>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</si>
  <si>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</si>
  <si>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</si>
  <si>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</si>
  <si>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</si>
  <si>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</si>
  <si>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</si>
  <si>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</si>
  <si>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</si>
  <si>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</si>
  <si>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</si>
  <si>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</si>
  <si>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</si>
  <si>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</si>
  <si>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</si>
  <si>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</si>
  <si>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</si>
  <si>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</si>
  <si>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</si>
  <si>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</si>
  <si>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</si>
  <si>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</si>
  <si>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</si>
  <si>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</si>
  <si>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</si>
  <si>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</si>
  <si>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</si>
  <si>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</si>
  <si>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</si>
  <si>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</si>
  <si>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</si>
  <si>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</si>
  <si>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</si>
  <si>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</si>
  <si>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</si>
  <si>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</si>
  <si>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</si>
  <si>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</si>
  <si>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</si>
  <si>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</si>
  <si>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</si>
  <si>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</si>
  <si>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</si>
  <si>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</si>
  <si>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</si>
  <si>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</si>
  <si>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</si>
  <si>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</si>
  <si>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</si>
  <si>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</si>
  <si>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</si>
  <si>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</si>
  <si>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</si>
  <si>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</si>
  <si>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</si>
  <si>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</si>
  <si>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</si>
  <si>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</si>
  <si>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</si>
  <si>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</si>
  <si>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</si>
  <si>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</si>
  <si>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</si>
  <si>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</si>
  <si>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</si>
  <si>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</si>
  <si>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</si>
  <si>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</si>
  <si>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</si>
  <si>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</si>
  <si>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</si>
  <si>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</si>
  <si>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</si>
  <si>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</si>
  <si>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</si>
  <si>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</si>
  <si>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</si>
  <si>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</si>
  <si>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</si>
  <si>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</si>
  <si>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</si>
  <si>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</si>
  <si>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</si>
  <si>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</si>
  <si>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</si>
  <si>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</si>
  <si>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</si>
  <si>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</si>
  <si>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</si>
  <si>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</si>
  <si>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</si>
  <si>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</si>
  <si>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</si>
  <si>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</si>
  <si>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</si>
  <si>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</si>
  <si>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</si>
  <si>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</si>
  <si>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</si>
  <si>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</si>
  <si>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</si>
  <si>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</si>
  <si>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</si>
  <si>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</si>
  <si>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</si>
  <si>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</si>
  <si>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</si>
  <si>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</si>
  <si>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</si>
  <si>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</si>
  <si>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</si>
  <si>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</si>
  <si>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</si>
  <si>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</si>
  <si>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</si>
  <si>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</si>
  <si>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</si>
  <si>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</si>
  <si>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</si>
  <si>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</si>
  <si>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</si>
  <si>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</si>
  <si>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</si>
  <si>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</si>
  <si>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</si>
  <si>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</si>
  <si>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</si>
  <si>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</si>
  <si>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</si>
  <si>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</si>
  <si>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</si>
  <si>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</si>
  <si>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</si>
  <si>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</si>
  <si>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</si>
  <si>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</si>
  <si>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</si>
  <si>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</si>
  <si>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</si>
  <si>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</si>
  <si>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</si>
  <si>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</si>
  <si>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</si>
  <si>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</si>
  <si>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</si>
  <si>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</si>
  <si>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</si>
  <si>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</si>
  <si>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</si>
  <si>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</si>
  <si>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</si>
  <si>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</si>
  <si>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</si>
  <si>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</si>
  <si>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</si>
  <si>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</si>
  <si>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</si>
  <si>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</si>
  <si>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</si>
  <si>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</si>
  <si>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</si>
  <si>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</si>
  <si>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</si>
  <si>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</si>
  <si>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</si>
  <si>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</si>
  <si>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</si>
  <si>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</si>
  <si>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</si>
  <si>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</si>
  <si>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</si>
  <si>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</si>
  <si>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</si>
  <si>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</si>
  <si>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</si>
  <si>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</si>
  <si>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</si>
  <si>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</si>
  <si>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</si>
  <si>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</si>
  <si>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</si>
  <si>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</si>
  <si>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</si>
  <si>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</si>
  <si>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</si>
  <si>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</si>
  <si>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</si>
  <si>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</si>
  <si>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</si>
  <si>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</si>
  <si>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</si>
  <si>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</si>
  <si>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</si>
  <si>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</si>
  <si>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</si>
  <si>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</si>
  <si>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</si>
  <si>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</si>
  <si>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</si>
  <si>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</si>
  <si>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</si>
  <si>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</si>
  <si>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</si>
  <si>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</si>
  <si>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</si>
  <si>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</si>
  <si>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</si>
  <si>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</si>
  <si>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</si>
  <si>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</si>
  <si>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</si>
  <si>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</si>
  <si>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</si>
  <si>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</si>
  <si>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</si>
  <si>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</si>
  <si>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</si>
  <si>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</si>
  <si>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</si>
  <si>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</si>
  <si>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</si>
  <si>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</si>
  <si>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</si>
  <si>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</si>
  <si>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</si>
  <si>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</si>
  <si>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</si>
  <si>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</si>
  <si>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</si>
  <si>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</si>
  <si>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</si>
  <si>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</si>
  <si>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</si>
  <si>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</si>
  <si>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</si>
  <si>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</si>
  <si>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</si>
  <si>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</si>
  <si>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</si>
  <si>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</si>
  <si>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</si>
  <si>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</si>
  <si>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</si>
  <si>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</si>
  <si>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</si>
  <si>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</si>
  <si>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</si>
  <si>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</si>
  <si>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</si>
  <si>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</si>
  <si>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</si>
  <si>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</si>
  <si>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</si>
  <si>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</si>
  <si>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</si>
  <si>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</si>
  <si>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</si>
  <si>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</si>
  <si>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</si>
  <si>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</si>
  <si>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</si>
  <si>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</si>
  <si>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</si>
  <si>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</si>
  <si>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</si>
  <si>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</si>
  <si>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</si>
  <si>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</si>
  <si>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</si>
  <si>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</si>
  <si>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</si>
  <si>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</si>
  <si>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</si>
  <si>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</si>
  <si>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</si>
  <si>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</si>
  <si>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</si>
  <si>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</si>
  <si>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</si>
  <si>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</si>
  <si>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</si>
  <si>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</si>
  <si>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</si>
  <si>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</si>
  <si>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</si>
  <si>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</si>
  <si>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</si>
  <si>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</si>
  <si>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</si>
  <si>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</si>
  <si>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</si>
  <si>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</si>
  <si>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</si>
  <si>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</si>
  <si>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</si>
  <si>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</si>
  <si>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</si>
  <si>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</si>
  <si>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</si>
  <si>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</si>
  <si>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</si>
  <si>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</si>
  <si>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</si>
  <si>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</si>
  <si>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</si>
  <si>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</si>
  <si>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</si>
  <si>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</si>
  <si>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</si>
  <si>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</si>
  <si>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</si>
  <si>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</si>
  <si>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</si>
  <si>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</si>
  <si>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</si>
  <si>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</si>
  <si>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</si>
  <si>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</si>
  <si>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</si>
  <si>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</si>
  <si>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</si>
  <si>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</si>
  <si>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</si>
  <si>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</si>
  <si>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</si>
  <si>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</si>
  <si>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</si>
  <si>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</si>
  <si>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</si>
  <si>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</si>
  <si>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</si>
  <si>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</si>
  <si>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</si>
  <si>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</si>
  <si>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</si>
  <si>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</si>
  <si>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</si>
  <si>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</si>
  <si>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</si>
  <si>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</si>
  <si>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</si>
  <si>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</si>
  <si>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</si>
  <si>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</si>
  <si>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</si>
  <si>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</si>
  <si>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</si>
  <si>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</si>
  <si>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</si>
  <si>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</si>
  <si>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</si>
  <si>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</si>
  <si>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</si>
  <si>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</si>
  <si>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</si>
  <si>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</si>
  <si>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</si>
  <si>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</si>
  <si>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</si>
  <si>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</si>
  <si>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</si>
  <si>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</si>
  <si>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</si>
  <si>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</si>
  <si>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</si>
  <si>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</si>
  <si>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</si>
  <si>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</si>
  <si>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</si>
  <si>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</si>
  <si>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</si>
  <si>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</si>
  <si>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</si>
  <si>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</si>
  <si>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</si>
  <si>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</si>
  <si>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</si>
  <si>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</si>
  <si>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</si>
  <si>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</si>
  <si>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</si>
  <si>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</si>
  <si>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</si>
  <si>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</si>
  <si>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</si>
  <si>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</si>
  <si>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</si>
  <si>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</si>
  <si>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</si>
  <si>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</si>
  <si>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</si>
  <si>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</si>
  <si>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</si>
  <si>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</si>
  <si>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</si>
  <si>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</si>
  <si>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</si>
  <si>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</si>
  <si>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</si>
  <si>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</si>
  <si>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</si>
  <si>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</si>
  <si>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</si>
  <si>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</si>
  <si>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</si>
  <si>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</si>
  <si>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</si>
  <si>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</si>
  <si>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</si>
  <si>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</si>
  <si>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</si>
  <si>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</si>
  <si>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</si>
  <si>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</si>
  <si>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</si>
  <si>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</si>
  <si>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</si>
  <si>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</si>
  <si>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</si>
  <si>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</si>
  <si>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</si>
  <si>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</si>
  <si>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</si>
  <si>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</si>
  <si>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</si>
  <si>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</si>
  <si>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</si>
  <si>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</si>
  <si>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</si>
  <si>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</si>
  <si>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</si>
  <si>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</si>
  <si>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</si>
  <si>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</si>
  <si>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</si>
  <si>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</si>
  <si>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</si>
  <si>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</si>
  <si>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</si>
  <si>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</si>
  <si>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</si>
  <si>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</si>
  <si>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</si>
  <si>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</si>
  <si>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</si>
  <si>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</si>
  <si>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</si>
  <si>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</si>
  <si>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</si>
  <si>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</si>
  <si>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</si>
  <si>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</si>
  <si>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</si>
  <si>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</si>
  <si>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</si>
  <si>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</si>
  <si>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</si>
  <si>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</si>
  <si>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</si>
  <si>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</si>
  <si>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</si>
  <si>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</si>
  <si>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</si>
  <si>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</si>
  <si>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</si>
  <si>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</si>
  <si>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</si>
  <si>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</si>
  <si>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</si>
  <si>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</si>
  <si>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</si>
  <si>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</si>
  <si>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</si>
  <si>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</si>
  <si>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</si>
  <si>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</si>
  <si>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</si>
  <si>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</si>
  <si>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</si>
  <si>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</si>
  <si>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</si>
  <si>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</si>
  <si>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</si>
  <si>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</si>
  <si>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</si>
  <si>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</si>
  <si>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</si>
  <si>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</si>
  <si>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</si>
  <si>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</si>
  <si>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</si>
  <si>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</si>
  <si>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</si>
  <si>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</si>
  <si>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</si>
  <si>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</si>
  <si>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</si>
  <si>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</si>
  <si>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</si>
  <si>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</si>
  <si>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</si>
  <si>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</si>
  <si>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</si>
  <si>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</si>
  <si>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</si>
  <si>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</si>
  <si>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</si>
  <si>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</si>
  <si>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</si>
  <si>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</si>
  <si>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</si>
  <si>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</si>
  <si>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</si>
  <si>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</si>
  <si>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</si>
  <si>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</si>
  <si>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</si>
  <si>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</si>
  <si>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</si>
  <si>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</si>
  <si>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</si>
  <si>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</si>
  <si>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</si>
  <si>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</si>
  <si>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</si>
  <si>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</si>
  <si>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</si>
  <si>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</si>
  <si>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</si>
  <si>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</si>
  <si>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</si>
  <si>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</si>
  <si>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</si>
  <si>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</si>
  <si>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</si>
  <si>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</si>
  <si>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</si>
  <si>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</si>
  <si>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</si>
  <si>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</si>
  <si>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</si>
  <si>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</si>
  <si>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</si>
  <si>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</si>
  <si>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</si>
  <si>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</si>
  <si>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</si>
  <si>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</si>
  <si>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</si>
  <si>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</si>
  <si>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</si>
  <si>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</si>
  <si>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</si>
  <si>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</si>
  <si>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</si>
  <si>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</si>
  <si>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</si>
  <si>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</si>
  <si>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</si>
  <si>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</si>
  <si>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</si>
  <si>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</si>
  <si>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</si>
  <si>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</si>
  <si>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</si>
  <si>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</si>
  <si>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</si>
  <si>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</si>
  <si>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</si>
  <si>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</si>
  <si>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</si>
  <si>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</si>
  <si>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</si>
  <si>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</si>
  <si>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</si>
  <si>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</si>
  <si>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</si>
  <si>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</si>
  <si>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</si>
  <si>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</si>
  <si>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</si>
  <si>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</si>
  <si>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</si>
  <si>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</si>
  <si>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</si>
  <si>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</si>
  <si>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</si>
  <si>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</si>
  <si>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</si>
  <si>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</si>
  <si>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</si>
  <si>
    <t>朢嗁雟</t>
    <phoneticPr fontId="52" type="noConversion"/>
  </si>
  <si>
    <t>黏孢子蟲三角孢子 刺胞動物</t>
    <phoneticPr fontId="52" type="noConversion"/>
  </si>
  <si>
    <t>獻膚子</t>
    <phoneticPr fontId="52" type="noConversion"/>
  </si>
  <si>
    <t>曜</t>
    <phoneticPr fontId="52" type="noConversion"/>
  </si>
  <si>
    <t>幻</t>
    <phoneticPr fontId="52" type="noConversion"/>
  </si>
  <si>
    <t>金</t>
    <phoneticPr fontId="52" type="noConversion"/>
  </si>
  <si>
    <t>光</t>
    <phoneticPr fontId="52" type="noConversion"/>
  </si>
  <si>
    <t>娧娧牻牛兒</t>
    <phoneticPr fontId="52" type="noConversion"/>
  </si>
  <si>
    <t>秀</t>
    <phoneticPr fontId="52" type="noConversion"/>
  </si>
  <si>
    <t>暗</t>
    <phoneticPr fontId="52" type="noConversion"/>
  </si>
  <si>
    <t>效犬</t>
    <phoneticPr fontId="52" type="noConversion"/>
  </si>
  <si>
    <t>婪金尨</t>
    <phoneticPr fontId="52" type="noConversion"/>
  </si>
  <si>
    <t>標榜羊犬</t>
    <phoneticPr fontId="52" type="noConversion"/>
  </si>
  <si>
    <t>牻旰</t>
    <phoneticPr fontId="52" type="noConversion"/>
  </si>
  <si>
    <t>牻隻鎌</t>
    <phoneticPr fontId="52" type="noConversion"/>
  </si>
  <si>
    <t>不啻頟痛</t>
    <phoneticPr fontId="52" type="noConversion"/>
  </si>
  <si>
    <t>莫謾上</t>
    <phoneticPr fontId="52" type="noConversion"/>
  </si>
  <si>
    <t>莫障</t>
    <phoneticPr fontId="52" type="noConversion"/>
  </si>
  <si>
    <t>襄鑲環</t>
    <phoneticPr fontId="52" type="noConversion"/>
  </si>
  <si>
    <t>古兜</t>
    <phoneticPr fontId="52" type="noConversion"/>
  </si>
  <si>
    <t>禁特</t>
    <phoneticPr fontId="52" type="noConversion"/>
  </si>
  <si>
    <t>盛</t>
    <phoneticPr fontId="52" type="noConversion"/>
  </si>
  <si>
    <t>1146</t>
  </si>
  <si>
    <t>1153</t>
  </si>
  <si>
    <t>1154</t>
  </si>
  <si>
    <t>1155</t>
  </si>
  <si>
    <t>1157</t>
  </si>
  <si>
    <t>1165</t>
  </si>
  <si>
    <t>1169</t>
  </si>
  <si>
    <t>1170</t>
  </si>
  <si>
    <t>1179</t>
  </si>
  <si>
    <t>1180</t>
  </si>
  <si>
    <t>1147-a</t>
  </si>
  <si>
    <t>1147-b</t>
  </si>
  <si>
    <t>1149-a</t>
  </si>
  <si>
    <t>1149-b</t>
  </si>
  <si>
    <t>1156-c</t>
  </si>
  <si>
    <t>1158-a</t>
  </si>
  <si>
    <t>1158-b</t>
  </si>
  <si>
    <t>1160-a</t>
  </si>
  <si>
    <t>1160-b</t>
  </si>
  <si>
    <t>1162-a</t>
  </si>
  <si>
    <t>1162-b</t>
  </si>
  <si>
    <t>1172-a</t>
  </si>
  <si>
    <t>1172-b</t>
  </si>
  <si>
    <t>1172-c</t>
  </si>
  <si>
    <t>1175-a</t>
  </si>
  <si>
    <t>1175-b</t>
  </si>
  <si>
    <t>1187-a</t>
  </si>
  <si>
    <t>1187-b</t>
  </si>
  <si>
    <t>pi</t>
  </si>
  <si>
    <t>俊自乂</t>
    <phoneticPr fontId="52" type="noConversion"/>
  </si>
  <si>
    <t>仌</t>
  </si>
  <si>
    <t>寒仌魄</t>
  </si>
  <si>
    <t>化仌魂</t>
  </si>
  <si>
    <t>光面仌錐</t>
  </si>
  <si>
    <t>仌坎</t>
  </si>
  <si>
    <t>況履仌</t>
  </si>
  <si>
    <t>語仌</t>
  </si>
  <si>
    <t>嫌仌清</t>
  </si>
  <si>
    <t>仌蜨燕</t>
  </si>
  <si>
    <t>仌含欒</t>
  </si>
  <si>
    <t>仌踝桎</t>
  </si>
  <si>
    <t>狧仌包</t>
  </si>
  <si>
    <t>鱗化三緘</t>
    <phoneticPr fontId="52" type="noConversion"/>
  </si>
  <si>
    <t>辥丸卵</t>
    <phoneticPr fontId="52" type="noConversion"/>
  </si>
  <si>
    <t>蒙桼吏</t>
    <phoneticPr fontId="52" type="noConversion"/>
  </si>
  <si>
    <t>南華</t>
    <phoneticPr fontId="52" type="noConversion"/>
  </si>
  <si>
    <t>笮申</t>
  </si>
  <si>
    <t>寬申</t>
  </si>
  <si>
    <t>申功效</t>
  </si>
  <si>
    <t>縛申圈</t>
  </si>
  <si>
    <t>芟申子</t>
  </si>
  <si>
    <t>虛申簡</t>
  </si>
  <si>
    <t>蓄申苞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</si>
</sst>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1999" activePane="bottomLeft" state="frozen"/>
      <selection pane="bottomLeft" activeCell="G2009" sqref="G2009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11121</v>
      </c>
      <c r="D1" s="55" t="s">
        <v>11122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$B$2083&amp;" 之 "&amp;"幼相"</f>
        <v>竟了焉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11114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11372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10753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10754</v>
      </c>
      <c r="B21" s="53" t="s">
        <v>11089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10755</v>
      </c>
      <c r="B22" s="53" t="s">
        <v>11088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10756</v>
      </c>
      <c r="B23" s="53" t="s">
        <v>11090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10757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10758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10759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10760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10761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10762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11603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11603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11058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10763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10764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10765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10766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10767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10768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10769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10770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10771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10772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10773</v>
      </c>
      <c r="B49" s="53" t="s">
        <v>11570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10774</v>
      </c>
      <c r="B50" s="53" t="s">
        <v>11569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10775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10776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10777</v>
      </c>
      <c r="B53" s="53" t="s">
        <v>11355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10778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10779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10780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10781</v>
      </c>
      <c r="B64" s="53" t="s">
        <v>11430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10782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11619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11620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11621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10783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10784</v>
      </c>
      <c r="B80" s="53" t="s">
        <v>11413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10785</v>
      </c>
      <c r="B81" s="53" t="s">
        <v>11414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11338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11336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10786</v>
      </c>
      <c r="B87" s="53" t="s">
        <v>11337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10787</v>
      </c>
      <c r="B88" s="53" t="s">
        <v>10751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10788</v>
      </c>
      <c r="B89" s="53" t="s">
        <v>10926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10789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10790</v>
      </c>
      <c r="B91" s="53" t="s">
        <v>11568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10791</v>
      </c>
      <c r="B92" s="53" t="s">
        <v>11567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10792</v>
      </c>
      <c r="B93" s="53" t="s">
        <v>11566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11604</v>
      </c>
      <c r="C96" s="59" t="s">
        <v>11603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11605</v>
      </c>
      <c r="C97" s="59" t="s">
        <v>11603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10793</v>
      </c>
      <c r="B98" s="53" t="s">
        <v>2404</v>
      </c>
      <c r="C98" s="59" t="s">
        <v>11603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10794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11463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11361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11360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10795</v>
      </c>
      <c r="B111" s="53" t="s">
        <v>11357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10796</v>
      </c>
      <c r="B112" s="53" t="s">
        <v>11358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10797</v>
      </c>
      <c r="B113" s="53" t="s">
        <v>11359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10798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10799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10800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10801</v>
      </c>
      <c r="B119" s="53" t="s">
        <v>11354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10802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10803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10804</v>
      </c>
      <c r="B122" s="53" t="s">
        <v>11115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10805</v>
      </c>
      <c r="B123" s="53" t="s">
        <v>11116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10806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10807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10808</v>
      </c>
      <c r="B126" s="53" t="s">
        <v>11393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10809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10810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10811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10812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10813</v>
      </c>
      <c r="B131" s="53" t="s">
        <v>11364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10814</v>
      </c>
      <c r="B132" s="53" t="s">
        <v>11362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10815</v>
      </c>
      <c r="B133" s="53" t="s">
        <v>11363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10816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10817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10818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10819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10820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10821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11479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11478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10822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10823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10824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10825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10826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10827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10828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10829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10830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10831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10832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10833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10834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10835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10836</v>
      </c>
      <c r="B160" s="53" t="s">
        <v>11239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10837</v>
      </c>
      <c r="B161" s="53" t="s">
        <v>11240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11242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11451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11450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10838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10839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11095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10840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10841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10842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10843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10844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10845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10846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10847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10848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10849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10850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11272</v>
      </c>
      <c r="C192" s="59" t="s">
        <v>20</v>
      </c>
      <c r="D192" s="60" t="s">
        <v>11270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11271</v>
      </c>
      <c r="C193" s="59" t="s">
        <v>20</v>
      </c>
      <c r="D193" s="60" t="s">
        <v>11270</v>
      </c>
      <c r="E193" s="61"/>
      <c r="F193" s="61"/>
      <c r="G193" s="61" t="s">
        <v>11269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11250</v>
      </c>
      <c r="C196" s="59" t="s">
        <v>11603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11442</v>
      </c>
      <c r="C197" s="59" t="s">
        <v>11603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11249</v>
      </c>
      <c r="C198" s="59" t="s">
        <v>11603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11452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11081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11522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10851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10852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10853</v>
      </c>
      <c r="B207" s="53" t="s">
        <v>9345</v>
      </c>
      <c r="C207" s="59" t="s">
        <v>11603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10854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11306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10855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10856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10857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10858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10859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10860</v>
      </c>
      <c r="B215" s="53" t="s">
        <v>11370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10861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10862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10863</v>
      </c>
      <c r="B218" s="53" t="s">
        <v>11200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10864</v>
      </c>
      <c r="B219" s="53" t="s">
        <v>11202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10865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11205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11268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10866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10867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10868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10869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10870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10871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11365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10872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10873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10874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10875</v>
      </c>
      <c r="B243" s="53" t="s">
        <v>11019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11209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10876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10877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11561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11562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10878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10879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10880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10881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11453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10882</v>
      </c>
      <c r="B262" s="53" t="s">
        <v>11454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11107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10883</v>
      </c>
      <c r="B271" s="53" t="s">
        <v>11455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11531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11532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11533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11406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11407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11092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10884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10885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10886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10887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10888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10889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11433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11434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11409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11366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11383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11356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11311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11622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11384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11456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11457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11458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11435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11437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11438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11436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11260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11387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11386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11385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11371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11259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11143</v>
      </c>
      <c r="C370" s="59" t="s">
        <v>11603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11022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11109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11445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11446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11447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11448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11006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11226</v>
      </c>
      <c r="C404" s="60" t="s">
        <v>11221</v>
      </c>
      <c r="D404" s="60" t="s">
        <v>11603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11222</v>
      </c>
      <c r="C405" s="60" t="s">
        <v>11221</v>
      </c>
      <c r="D405" s="60" t="s">
        <v>11603</v>
      </c>
      <c r="E405" s="61"/>
      <c r="F405" s="61"/>
      <c r="G405" s="61" t="s">
        <v>11220</v>
      </c>
      <c r="H405" s="61"/>
    </row>
    <row r="406" spans="1:8" s="39" customFormat="1" ht="18" customHeight="1">
      <c r="A406" s="98" t="s">
        <v>6099</v>
      </c>
      <c r="B406" s="53" t="s">
        <v>11449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11007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11124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11104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11103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11078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11508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11074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11079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11376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11551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11253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11254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11255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11251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11603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11469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11468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11204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11203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11485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11486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11441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11440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11439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11262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10892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10893</v>
      </c>
      <c r="B526" s="53" t="s">
        <v>11487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10894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10895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10896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11603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11444</v>
      </c>
      <c r="C535" s="59" t="s">
        <v>11603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11217</v>
      </c>
      <c r="C536" s="59" t="s">
        <v>11603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11279</v>
      </c>
      <c r="C537" s="59" t="s">
        <v>11603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11603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10897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11350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10898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11603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10899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10900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10901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11331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11330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11077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11404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10902</v>
      </c>
      <c r="B577" s="53" t="s">
        <v>11329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11218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11248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11389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11390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11388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10914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10903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11111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10904</v>
      </c>
      <c r="B608" s="53" t="s">
        <v>2798</v>
      </c>
      <c r="C608" s="59" t="s">
        <v>11603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11606</v>
      </c>
      <c r="C609" s="59" t="s">
        <v>3136</v>
      </c>
      <c r="D609" s="60" t="s">
        <v>11603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11603</v>
      </c>
      <c r="E610" s="61"/>
      <c r="F610" s="61"/>
      <c r="G610" s="61"/>
      <c r="H610" s="61"/>
    </row>
    <row r="611" spans="1:8" s="39" customFormat="1" ht="18" customHeight="1">
      <c r="A611" s="98" t="s">
        <v>10905</v>
      </c>
      <c r="B611" s="53" t="s">
        <v>11607</v>
      </c>
      <c r="C611" s="59" t="s">
        <v>3136</v>
      </c>
      <c r="D611" s="60" t="s">
        <v>11603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10890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10906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11147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11511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11512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11514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11513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11608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11293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11571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11232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11219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11603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11304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11305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11303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11257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11256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11258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11426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11061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11563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11298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11215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11216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11312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11603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11609</v>
      </c>
      <c r="C725" s="59" t="s">
        <v>11603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11296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11297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11214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11381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11382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11333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11313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11026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11027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11498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11191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11603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11623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11399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11244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11394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11400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11339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11340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11033</v>
      </c>
      <c r="C841" s="59" t="s">
        <v>149</v>
      </c>
      <c r="D841" s="60" t="s">
        <v>11032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11431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11432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11624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11375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11229</v>
      </c>
      <c r="C890" s="59" t="s">
        <v>3174</v>
      </c>
      <c r="D890" s="60" t="s">
        <v>11230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11227</v>
      </c>
      <c r="C891" s="59" t="s">
        <v>3174</v>
      </c>
      <c r="D891" s="60" t="s">
        <v>11230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11228</v>
      </c>
      <c r="C892" s="59" t="s">
        <v>3174</v>
      </c>
      <c r="D892" s="60" t="s">
        <v>11230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11278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11542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11610</v>
      </c>
      <c r="C917" s="59" t="s">
        <v>11603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11471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11472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11241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11470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11192</v>
      </c>
      <c r="C938" s="59" t="s">
        <v>11603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11193</v>
      </c>
      <c r="C939" s="59" t="s">
        <v>11603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11054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11378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11037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11302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11299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11225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11224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10930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11144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10752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11351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11541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11401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11402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11403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11397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11353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11283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11480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11276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11473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11474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11462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11476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11475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11275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11110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11273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11266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11267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11523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11231</v>
      </c>
      <c r="C1084" s="59" t="s">
        <v>11009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11008</v>
      </c>
      <c r="C1085" s="59" t="s">
        <v>11009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11603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11603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11459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11460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11274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11379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11349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11280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11277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11287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11288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11286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11443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11289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11290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11291</v>
      </c>
      <c r="C1117" s="59" t="s">
        <v>20</v>
      </c>
      <c r="D1117" s="60" t="s">
        <v>11603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11405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11408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11611</v>
      </c>
      <c r="C1135" s="60" t="s">
        <v>11603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11558</v>
      </c>
      <c r="C1136" s="60" t="s">
        <v>11554</v>
      </c>
      <c r="D1136" s="60" t="s">
        <v>11559</v>
      </c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11564</v>
      </c>
      <c r="C1137" s="60" t="s">
        <v>11554</v>
      </c>
      <c r="D1137" s="60" t="s">
        <v>11560</v>
      </c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11565</v>
      </c>
      <c r="C1138" s="60" t="s">
        <v>11554</v>
      </c>
      <c r="D1138" s="60" t="s">
        <v>11557</v>
      </c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11345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11247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10931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11603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11281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11206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11206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11206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11424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11427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10940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10941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11612</v>
      </c>
      <c r="C1219" s="59" t="s">
        <v>20</v>
      </c>
      <c r="D1219" s="60" t="s">
        <v>11603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11517</v>
      </c>
      <c r="C1227" s="59" t="s">
        <v>11603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11516</v>
      </c>
      <c r="C1228" s="59" t="s">
        <v>11603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10938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11117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11028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10909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10908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11348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11233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11603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11553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11603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11603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10910</v>
      </c>
      <c r="C1288" s="59" t="s">
        <v>11603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11046</v>
      </c>
      <c r="C1289" s="59" t="s">
        <v>11603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10932</v>
      </c>
      <c r="C1290" s="59" t="s">
        <v>11603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11211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11374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11519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11603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11603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11145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10913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10920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10929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11048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11284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11234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11040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11310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11309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11603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11039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11546</v>
      </c>
      <c r="C1369" s="59" t="s">
        <v>11545</v>
      </c>
      <c r="D1369" s="60"/>
      <c r="E1369" s="61"/>
      <c r="F1369" s="61"/>
      <c r="G1369" s="61" t="s">
        <v>11544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11537</v>
      </c>
      <c r="C1371" s="59" t="s">
        <v>4788</v>
      </c>
      <c r="D1371" s="60"/>
      <c r="E1371" s="61"/>
      <c r="F1371" s="61"/>
      <c r="G1371" s="61" t="s">
        <v>11540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11428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10912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10911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11538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10936</v>
      </c>
      <c r="C1382" s="59" t="s">
        <v>448</v>
      </c>
      <c r="D1382" s="60" t="s">
        <v>11603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11539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11410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10935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10915</v>
      </c>
      <c r="C1400" s="59" t="s">
        <v>11603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11146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10937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10918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11015</v>
      </c>
      <c r="C1434" s="59" t="s">
        <v>11603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11603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11603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10916</v>
      </c>
      <c r="C1437" s="59" t="s">
        <v>11603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11603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11603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11603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11603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11613</v>
      </c>
      <c r="C1442" s="59" t="s">
        <v>11603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11603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11025</v>
      </c>
      <c r="C1444" s="59" t="s">
        <v>11603</v>
      </c>
      <c r="D1444" s="60" t="s">
        <v>11023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11024</v>
      </c>
      <c r="C1445" s="59" t="s">
        <v>11603</v>
      </c>
      <c r="D1445" s="60" t="s">
        <v>11023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11603</v>
      </c>
      <c r="D1446" s="60" t="s">
        <v>11014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11614</v>
      </c>
      <c r="C1447" s="59" t="s">
        <v>11603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11016</v>
      </c>
      <c r="C1448" s="59" t="s">
        <v>11603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11603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11603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10939</v>
      </c>
      <c r="C1452" s="59" t="s">
        <v>11603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11049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11263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11264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11265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11093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10921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11552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11603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11603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11603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11367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11368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11369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11342</v>
      </c>
      <c r="C1504" s="59" t="s">
        <v>168</v>
      </c>
      <c r="D1504" s="60" t="s">
        <v>11069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11617</v>
      </c>
      <c r="C1505" s="59" t="s">
        <v>168</v>
      </c>
      <c r="D1505" s="60" t="s">
        <v>11069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11021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10924</v>
      </c>
      <c r="C1511" s="59" t="s">
        <v>2053</v>
      </c>
      <c r="D1511" s="60" t="s">
        <v>2045</v>
      </c>
      <c r="E1511" s="61"/>
      <c r="F1511" s="61"/>
      <c r="G1511" s="61" t="s">
        <v>10923</v>
      </c>
      <c r="H1511" s="61"/>
    </row>
    <row r="1512" spans="1:8" s="39" customFormat="1" ht="18" customHeight="1">
      <c r="A1512" s="98" t="s">
        <v>10504</v>
      </c>
      <c r="B1512" s="53" t="s">
        <v>11326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11343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11603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11625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11055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11318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11317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11319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11411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11335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11320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11324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11325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10922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11208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11321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11018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11066</v>
      </c>
      <c r="C1574" s="59" t="s">
        <v>20</v>
      </c>
      <c r="D1574" s="60" t="s">
        <v>391</v>
      </c>
      <c r="E1574" s="61"/>
      <c r="F1574" s="61"/>
      <c r="G1574" s="61" t="s">
        <v>11050</v>
      </c>
      <c r="H1574" s="61"/>
    </row>
    <row r="1575" spans="1:8" s="39" customFormat="1" ht="18" customHeight="1">
      <c r="A1575" s="98" t="s">
        <v>7010</v>
      </c>
      <c r="B1575" s="53" t="s">
        <v>11322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11323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10934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11327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11328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11086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10925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11105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11285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11507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11506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11072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11347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11346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11060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11068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11392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11391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11603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11603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11031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11012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11013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11011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11036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11035</v>
      </c>
      <c r="C1651" s="60" t="s">
        <v>186</v>
      </c>
      <c r="D1651" s="60"/>
      <c r="E1651" s="61"/>
      <c r="F1651" s="61"/>
      <c r="G1651" s="61" t="s">
        <v>11034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11071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11059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11084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11041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11096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11085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11070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11398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10927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10975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10976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10974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11315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11316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11603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11603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11102</v>
      </c>
      <c r="C1733" s="59" t="s">
        <v>11099</v>
      </c>
      <c r="D1733" s="60" t="s">
        <v>11100</v>
      </c>
      <c r="E1733" s="61"/>
      <c r="F1733" s="61"/>
      <c r="G1733" s="61" t="s">
        <v>11101</v>
      </c>
      <c r="H1733" s="61"/>
    </row>
    <row r="1734" spans="1:8" s="39" customFormat="1" ht="18" customHeight="1">
      <c r="A1734" s="98" t="s">
        <v>7134</v>
      </c>
      <c r="B1734" s="53" t="s">
        <v>11098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11097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11052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11038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11053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11352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11490</v>
      </c>
      <c r="C1751" s="59" t="s">
        <v>149</v>
      </c>
      <c r="D1751" s="60" t="s">
        <v>10891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11489</v>
      </c>
      <c r="C1752" s="59" t="s">
        <v>149</v>
      </c>
      <c r="D1752" s="60" t="s">
        <v>10891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10891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11113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11010</v>
      </c>
      <c r="C1760" s="59" t="s">
        <v>3136</v>
      </c>
      <c r="D1760" s="60" t="s">
        <v>10928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11482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11483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11527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11528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11526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11017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11307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11308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11118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11603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11106</v>
      </c>
      <c r="C1811" s="60" t="s">
        <v>11056</v>
      </c>
      <c r="D1811" s="60" t="s">
        <v>11057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11091</v>
      </c>
      <c r="C1812" s="60" t="s">
        <v>11056</v>
      </c>
      <c r="D1812" s="60" t="s">
        <v>11057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11499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11497</v>
      </c>
      <c r="C1816" s="59" t="s">
        <v>183</v>
      </c>
      <c r="D1816" s="60" t="s">
        <v>11504</v>
      </c>
      <c r="E1816" s="61" t="s">
        <v>8395</v>
      </c>
      <c r="F1816" s="61"/>
      <c r="G1816" s="61" t="s">
        <v>11492</v>
      </c>
      <c r="H1816" s="61"/>
    </row>
    <row r="1817" spans="1:8" s="39" customFormat="1" ht="18" customHeight="1">
      <c r="A1817" s="98" t="s">
        <v>10157</v>
      </c>
      <c r="B1817" s="53" t="s">
        <v>11496</v>
      </c>
      <c r="C1817" s="59" t="s">
        <v>11500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11491</v>
      </c>
      <c r="C1818" s="59" t="s">
        <v>11500</v>
      </c>
      <c r="D1818" s="60" t="s">
        <v>11502</v>
      </c>
      <c r="E1818" s="61" t="s">
        <v>8395</v>
      </c>
      <c r="F1818" s="61"/>
      <c r="G1818" s="61" t="s">
        <v>11493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11501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11494</v>
      </c>
      <c r="C1820" s="59" t="s">
        <v>11501</v>
      </c>
      <c r="D1820" s="60" t="s">
        <v>11503</v>
      </c>
      <c r="E1820" s="61" t="s">
        <v>8395</v>
      </c>
      <c r="F1820" s="61"/>
      <c r="G1820" s="61" t="s">
        <v>11495</v>
      </c>
      <c r="H1820" s="61"/>
    </row>
    <row r="1821" spans="1:8" s="39" customFormat="1" ht="18" customHeight="1">
      <c r="A1821" s="98" t="s">
        <v>10559</v>
      </c>
      <c r="B1821" s="53" t="s">
        <v>11062</v>
      </c>
      <c r="C1821" s="59" t="s">
        <v>11603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11120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11294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11064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11063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11344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11380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10944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10945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10946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10947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11314</v>
      </c>
      <c r="C1867" s="59" t="s">
        <v>11029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11029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10948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11126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11125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10949</v>
      </c>
      <c r="B1874" s="53" t="s">
        <v>11123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10950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10951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10952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10953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11603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11603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10954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10955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10977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11001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10978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11341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10979</v>
      </c>
      <c r="C1900" s="59" t="s">
        <v>11603</v>
      </c>
      <c r="D1900" s="60"/>
      <c r="E1900" s="61"/>
      <c r="F1900" s="61" t="str">
        <f t="shared" si="0"/>
        <v>喪臂厷 之 仌系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10980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10981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10982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10983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10984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10985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10986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10987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10988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10989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10990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10991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10992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11373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10993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11002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10994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11003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10995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10996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11412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10997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11004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10998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10999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11000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11547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11549</v>
      </c>
      <c r="C1931" s="60" t="s">
        <v>168</v>
      </c>
      <c r="D1931" s="60" t="s">
        <v>11550</v>
      </c>
      <c r="E1931" s="61"/>
      <c r="F1931" s="61"/>
      <c r="G1931" s="61" t="s">
        <v>11548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10956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10957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11396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11395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11529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10933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10958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10959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10960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10961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10962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10963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10964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10965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10966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10967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10968</v>
      </c>
      <c r="B1979" s="53" t="s">
        <v>11238</v>
      </c>
      <c r="C1979" s="59" t="s">
        <v>5489</v>
      </c>
      <c r="D1979" s="59"/>
      <c r="E1979" s="61"/>
      <c r="F1979" s="61"/>
      <c r="G1979" s="61" t="s">
        <v>11237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11535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10969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10970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10971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11235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11235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10942</v>
      </c>
      <c r="C1995" s="59" t="s">
        <v>4062</v>
      </c>
      <c r="D1995" s="59" t="s">
        <v>10943</v>
      </c>
      <c r="E1995" s="61" t="s">
        <v>11235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10691</v>
      </c>
      <c r="B2002" s="53" t="s">
        <v>11461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10719</v>
      </c>
      <c r="B2005" s="53" t="s">
        <v>10972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10720</v>
      </c>
      <c r="B2007" s="53" t="s">
        <v>11618</v>
      </c>
      <c r="C2007" s="59" t="s">
        <v>11572</v>
      </c>
      <c r="D2007" s="60"/>
      <c r="E2007" s="61" t="s">
        <v>3674</v>
      </c>
      <c r="F2007" s="61" t="str">
        <f>$B$86&amp;" + "&amp;$B$1505</f>
        <v>蜨物化 + 蒙桼吏</v>
      </c>
      <c r="G2007" s="61"/>
      <c r="H2007" s="61"/>
    </row>
    <row r="2008" spans="1:8" s="39" customFormat="1" ht="18" customHeight="1">
      <c r="A2008" s="98" t="s">
        <v>10200</v>
      </c>
      <c r="B2008" s="53" t="s">
        <v>2508</v>
      </c>
      <c r="C2008" s="59" t="s">
        <v>432</v>
      </c>
      <c r="D2008" s="60" t="s">
        <v>3136</v>
      </c>
      <c r="E2008" s="61" t="s">
        <v>3674</v>
      </c>
      <c r="F2008" s="61" t="str">
        <f>$B$90&amp;" + "&amp;$B$95</f>
        <v>聾損龍 + 壚密格</v>
      </c>
      <c r="G2008" s="61"/>
      <c r="H2008" s="61"/>
    </row>
    <row r="2009" spans="1:8" s="39" customFormat="1" ht="18" customHeight="1">
      <c r="A2009" s="98" t="s">
        <v>10201</v>
      </c>
      <c r="B2009" s="53" t="s">
        <v>2509</v>
      </c>
      <c r="C2009" s="59" t="s">
        <v>432</v>
      </c>
      <c r="D2009" s="60" t="s">
        <v>3136</v>
      </c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1170</v>
      </c>
      <c r="C2010" s="59" t="s">
        <v>183</v>
      </c>
      <c r="D2010" s="60"/>
      <c r="E2010" s="61" t="s">
        <v>3674</v>
      </c>
      <c r="F2010" s="61" t="str">
        <f>$B$93&amp;" + "&amp;$B$653</f>
        <v>不啻頟痛 + 忍杲</v>
      </c>
      <c r="G2010" s="61"/>
      <c r="H2010" s="61"/>
    </row>
    <row r="2011" spans="1:8" s="39" customFormat="1" ht="18" customHeight="1">
      <c r="A2011" s="98" t="s">
        <v>10722</v>
      </c>
      <c r="B2011" s="53" t="s">
        <v>11505</v>
      </c>
      <c r="C2011" s="59" t="s">
        <v>183</v>
      </c>
      <c r="D2011" s="60"/>
      <c r="E2011" s="61"/>
      <c r="F2011" s="61"/>
      <c r="G2011" s="61"/>
      <c r="H2011" s="61"/>
    </row>
    <row r="2012" spans="1:8" s="39" customFormat="1" ht="18" customHeight="1">
      <c r="A2012" s="98" t="s">
        <v>10724</v>
      </c>
      <c r="B2012" s="53" t="s">
        <v>11108</v>
      </c>
      <c r="C2012" s="59" t="s">
        <v>149</v>
      </c>
      <c r="D2012" s="60" t="s">
        <v>175</v>
      </c>
      <c r="E2012" s="61" t="s">
        <v>3674</v>
      </c>
      <c r="F2012" s="61" t="str">
        <f>$B$103&amp;" + "&amp;$B$165</f>
        <v>南邑僊 + 恖磬</v>
      </c>
      <c r="G2012" s="61"/>
      <c r="H2012" s="61"/>
    </row>
    <row r="2013" spans="1:8" s="39" customFormat="1" ht="18" customHeight="1">
      <c r="A2013" s="98" t="s">
        <v>11573</v>
      </c>
      <c r="B2013" s="53" t="s">
        <v>4606</v>
      </c>
      <c r="C2013" s="59" t="s">
        <v>3140</v>
      </c>
      <c r="D2013" s="60" t="s">
        <v>151</v>
      </c>
      <c r="E2013" s="61" t="s">
        <v>3674</v>
      </c>
      <c r="F2013" s="61" t="str">
        <f>$B$117&amp;" + "&amp;$B$156</f>
        <v>閃塹客 + 鎔細員</v>
      </c>
      <c r="G2013" s="61"/>
      <c r="H2013" s="61"/>
    </row>
    <row r="2014" spans="1:8" s="39" customFormat="1" ht="18" customHeight="1">
      <c r="A2014" s="98" t="s">
        <v>11583</v>
      </c>
      <c r="B2014" s="53" t="s">
        <v>11119</v>
      </c>
      <c r="C2014" s="59" t="s">
        <v>167</v>
      </c>
      <c r="D2014" s="60" t="s">
        <v>188</v>
      </c>
      <c r="E2014" s="61" t="s">
        <v>3674</v>
      </c>
      <c r="F2014" s="61" t="str">
        <f>$B$121&amp;" + "&amp;$B$123</f>
        <v>五不悛 + 眉閒列</v>
      </c>
      <c r="G2014" s="61"/>
      <c r="H2014" s="61"/>
    </row>
    <row r="2015" spans="1:8" s="39" customFormat="1" ht="18" customHeight="1">
      <c r="A2015" s="98" t="s">
        <v>11584</v>
      </c>
      <c r="B2015" s="53" t="s">
        <v>11334</v>
      </c>
      <c r="C2015" s="59" t="s">
        <v>167</v>
      </c>
      <c r="D2015" s="60" t="s">
        <v>188</v>
      </c>
      <c r="E2015" s="61"/>
      <c r="F2015" s="61"/>
      <c r="G2015" s="61"/>
      <c r="H2015" s="61"/>
    </row>
    <row r="2016" spans="1:8" s="39" customFormat="1" ht="18" customHeight="1">
      <c r="A2016" s="98" t="s">
        <v>10728</v>
      </c>
      <c r="B2016" s="53" t="s">
        <v>10716</v>
      </c>
      <c r="C2016" s="59" t="s">
        <v>180</v>
      </c>
      <c r="D2016" s="60"/>
      <c r="E2016" s="61" t="s">
        <v>3674</v>
      </c>
      <c r="F2016" s="61" t="str">
        <f>$B$130&amp;" + "&amp;$B$139</f>
        <v>日就木 + 示暉</v>
      </c>
      <c r="G2016" s="61"/>
      <c r="H2016" s="61"/>
    </row>
    <row r="2017" spans="1:8" s="39" customFormat="1" ht="18" customHeight="1">
      <c r="A2017" s="98" t="s">
        <v>10729</v>
      </c>
      <c r="B2017" s="53" t="s">
        <v>8394</v>
      </c>
      <c r="C2017" s="59" t="s">
        <v>180</v>
      </c>
      <c r="D2017" s="60"/>
      <c r="E2017" s="61"/>
      <c r="F2017" s="61"/>
      <c r="G2017" s="61"/>
      <c r="H2017" s="61"/>
    </row>
    <row r="2018" spans="1:8" s="39" customFormat="1" ht="18" customHeight="1">
      <c r="A2018" s="98" t="s">
        <v>11585</v>
      </c>
      <c r="B2018" s="53" t="s">
        <v>9374</v>
      </c>
      <c r="C2018" s="59" t="s">
        <v>11520</v>
      </c>
      <c r="D2018" s="60" t="s">
        <v>11521</v>
      </c>
      <c r="E2018" s="61" t="s">
        <v>3674</v>
      </c>
      <c r="F2018" s="61" t="str">
        <f>$B$161&amp;" + "&amp;$B$163</f>
        <v>處目處 + 錙銖磺</v>
      </c>
      <c r="G2018" s="61"/>
      <c r="H2018" s="61"/>
    </row>
    <row r="2019" spans="1:8" s="39" customFormat="1" ht="18" customHeight="1">
      <c r="A2019" s="98" t="s">
        <v>11586</v>
      </c>
      <c r="B2019" s="53" t="s">
        <v>11243</v>
      </c>
      <c r="C2019" s="59" t="s">
        <v>11520</v>
      </c>
      <c r="D2019" s="60" t="s">
        <v>11521</v>
      </c>
      <c r="E2019" s="61"/>
      <c r="F2019" s="61"/>
      <c r="G2019" s="61"/>
      <c r="H2019" s="61"/>
    </row>
    <row r="2020" spans="1:8" s="39" customFormat="1" ht="18" customHeight="1">
      <c r="A2020" s="98" t="s">
        <v>10694</v>
      </c>
      <c r="B2020" s="53" t="s">
        <v>7428</v>
      </c>
      <c r="C2020" s="59" t="s">
        <v>3136</v>
      </c>
      <c r="D2020" s="60" t="s">
        <v>3175</v>
      </c>
      <c r="E2020" s="61" t="s">
        <v>3674</v>
      </c>
      <c r="F2020" s="61" t="str">
        <f>$B$176&amp;" + "&amp;$B$993</f>
        <v>福霽龍 + 建桀士</v>
      </c>
      <c r="G2020" s="61"/>
      <c r="H2020" s="61"/>
    </row>
    <row r="2021" spans="1:8" s="39" customFormat="1" ht="18" customHeight="1">
      <c r="A2021" s="98" t="s">
        <v>10730</v>
      </c>
      <c r="B2021" s="53" t="s">
        <v>11530</v>
      </c>
      <c r="C2021" s="59" t="s">
        <v>3175</v>
      </c>
      <c r="D2021" s="60"/>
      <c r="E2021" s="61" t="s">
        <v>3674</v>
      </c>
      <c r="F2021" s="61" t="str">
        <f>$B$179&amp;" + "&amp;$B$182</f>
        <v>天僞 + 合歡剄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11574</v>
      </c>
      <c r="B2024" s="53" t="s">
        <v>8312</v>
      </c>
      <c r="C2024" s="59" t="s">
        <v>5489</v>
      </c>
      <c r="D2024" s="60"/>
      <c r="E2024" s="61" t="s">
        <v>3674</v>
      </c>
      <c r="F2024" s="61" t="str">
        <f>$B$253&amp;" + "&amp;$B$279</f>
        <v>首離蜋 + 初殲角</v>
      </c>
      <c r="G2024" s="61"/>
      <c r="H2024" s="61"/>
    </row>
    <row r="2025" spans="1:8" s="39" customFormat="1" ht="18" customHeight="1">
      <c r="A2025" s="98" t="s">
        <v>11575</v>
      </c>
      <c r="B2025" s="53" t="s">
        <v>8033</v>
      </c>
      <c r="C2025" s="59" t="s">
        <v>188</v>
      </c>
      <c r="D2025" s="60" t="s">
        <v>3168</v>
      </c>
      <c r="E2025" s="61" t="s">
        <v>3674</v>
      </c>
      <c r="F2025" s="61" t="str">
        <f>$B$262&amp;" + "&amp;$B$274</f>
        <v>烏夭莎 + 管窺閃</v>
      </c>
      <c r="G2025" s="61"/>
      <c r="H2025" s="61"/>
    </row>
    <row r="2026" spans="1:8" s="39" customFormat="1" ht="18" customHeight="1">
      <c r="A2026" s="98" t="s">
        <v>11576</v>
      </c>
      <c r="B2026" s="53" t="s">
        <v>4701</v>
      </c>
      <c r="C2026" s="59" t="s">
        <v>4576</v>
      </c>
      <c r="D2026" s="60" t="s">
        <v>3170</v>
      </c>
      <c r="E2026" s="61" t="s">
        <v>3674</v>
      </c>
      <c r="F2026" s="61" t="str">
        <f>$B$264&amp;" + "&amp;$B$270</f>
        <v>怨誰人 + 觀險</v>
      </c>
      <c r="G2026" s="61"/>
      <c r="H2026" s="61"/>
    </row>
    <row r="2027" spans="1:8" s="39" customFormat="1" ht="18" customHeight="1">
      <c r="A2027" s="98" t="s">
        <v>10210</v>
      </c>
      <c r="B2027" s="53" t="s">
        <v>11525</v>
      </c>
      <c r="C2027" s="59" t="s">
        <v>176</v>
      </c>
      <c r="D2027" s="60" t="s">
        <v>172</v>
      </c>
      <c r="E2027" s="61" t="s">
        <v>3674</v>
      </c>
      <c r="F2027" s="61" t="str">
        <f>$B$276&amp;" + "&amp;$B$308</f>
        <v>垂云緍 + 袒簧宦</v>
      </c>
      <c r="G2027" s="61"/>
      <c r="H2027" s="61"/>
    </row>
    <row r="2028" spans="1:8" s="39" customFormat="1">
      <c r="A2028" s="98" t="s">
        <v>10211</v>
      </c>
      <c r="B2028" s="53" t="s">
        <v>11524</v>
      </c>
      <c r="C2028" s="59" t="s">
        <v>176</v>
      </c>
      <c r="D2028" s="60" t="s">
        <v>172</v>
      </c>
      <c r="E2028" s="61"/>
      <c r="F2028" s="61"/>
      <c r="G2028" s="61"/>
      <c r="H2028" s="61"/>
    </row>
    <row r="2029" spans="1:8" s="39" customFormat="1" ht="18" customHeight="1">
      <c r="A2029" s="98" t="s">
        <v>11587</v>
      </c>
      <c r="B2029" s="53" t="s">
        <v>4532</v>
      </c>
      <c r="C2029" s="59" t="s">
        <v>176</v>
      </c>
      <c r="D2029" s="60" t="s">
        <v>172</v>
      </c>
      <c r="E2029" s="61"/>
      <c r="F2029" s="61"/>
      <c r="G2029" s="61"/>
      <c r="H2029" s="61"/>
    </row>
    <row r="2030" spans="1:8" s="39" customFormat="1" ht="18" customHeight="1">
      <c r="A2030" s="98" t="s">
        <v>11577</v>
      </c>
      <c r="B2030" s="53" t="s">
        <v>11467</v>
      </c>
      <c r="C2030" s="59" t="s">
        <v>151</v>
      </c>
      <c r="D2030" s="60" t="s">
        <v>432</v>
      </c>
      <c r="E2030" s="61" t="s">
        <v>3674</v>
      </c>
      <c r="F2030" s="61" t="str">
        <f>$B$296&amp;" + "&amp;$B$299</f>
        <v>還火環 + 刖金月</v>
      </c>
      <c r="G2030" s="61"/>
      <c r="H2030" s="61"/>
    </row>
    <row r="2031" spans="1:8" s="39" customFormat="1" ht="18" customHeight="1">
      <c r="A2031" s="98" t="s">
        <v>11588</v>
      </c>
      <c r="B2031" s="53" t="s">
        <v>11518</v>
      </c>
      <c r="C2031" s="59" t="s">
        <v>3178</v>
      </c>
      <c r="D2031" s="60"/>
      <c r="E2031" s="61" t="s">
        <v>3674</v>
      </c>
      <c r="F2031" s="61" t="str">
        <f>$B$310&amp;" + "&amp;$B$316</f>
        <v>雙隻隹 + 飛竄木</v>
      </c>
      <c r="G2031" s="61"/>
      <c r="H2031" s="61"/>
    </row>
    <row r="2032" spans="1:8" s="39" customFormat="1" ht="18" customHeight="1">
      <c r="A2032" s="98" t="s">
        <v>11589</v>
      </c>
      <c r="B2032" s="53" t="s">
        <v>8034</v>
      </c>
      <c r="C2032" s="59" t="s">
        <v>3178</v>
      </c>
      <c r="D2032" s="60"/>
      <c r="E2032" s="61"/>
      <c r="F2032" s="61"/>
      <c r="G2032" s="61"/>
      <c r="H2032" s="61"/>
    </row>
    <row r="2033" spans="1:8" s="39" customFormat="1" ht="18" customHeight="1">
      <c r="A2033" s="98" t="s">
        <v>10734</v>
      </c>
      <c r="B2033" s="53" t="s">
        <v>11510</v>
      </c>
      <c r="C2033" s="59" t="s">
        <v>5572</v>
      </c>
      <c r="D2033" s="60"/>
      <c r="E2033" s="61" t="s">
        <v>3674</v>
      </c>
      <c r="F2033" s="61" t="str">
        <f>$B$312&amp;" + "&amp;$B$886</f>
        <v>飴鹽凷 + 喜齧</v>
      </c>
      <c r="G2033" s="61"/>
      <c r="H2033" s="61"/>
    </row>
    <row r="2034" spans="1:8" s="39" customFormat="1" ht="18" customHeight="1">
      <c r="A2034" s="98" t="s">
        <v>10735</v>
      </c>
      <c r="B2034" s="53" t="s">
        <v>11515</v>
      </c>
      <c r="C2034" s="59" t="s">
        <v>5572</v>
      </c>
      <c r="D2034" s="60"/>
      <c r="E2034" s="61"/>
      <c r="F2034" s="61"/>
      <c r="G2034" s="61"/>
      <c r="H2034" s="61"/>
    </row>
    <row r="2035" spans="1:8" s="39" customFormat="1" ht="18" customHeight="1">
      <c r="A2035" s="98" t="s">
        <v>11590</v>
      </c>
      <c r="B2035" s="53" t="s">
        <v>3992</v>
      </c>
      <c r="C2035" s="59" t="s">
        <v>448</v>
      </c>
      <c r="D2035" s="60" t="s">
        <v>180</v>
      </c>
      <c r="E2035" s="61" t="s">
        <v>3674</v>
      </c>
      <c r="F2035" s="61" t="str">
        <f>$B$327&amp;" + "&amp;$B$329</f>
        <v>蒼朖光 + 謐月</v>
      </c>
      <c r="G2035" s="61"/>
      <c r="H2035" s="61"/>
    </row>
    <row r="2036" spans="1:8" s="39" customFormat="1" ht="18" customHeight="1">
      <c r="A2036" s="98" t="s">
        <v>11591</v>
      </c>
      <c r="B2036" s="53" t="s">
        <v>8703</v>
      </c>
      <c r="C2036" s="59" t="s">
        <v>448</v>
      </c>
      <c r="D2036" s="60" t="s">
        <v>180</v>
      </c>
      <c r="E2036" s="61"/>
      <c r="F2036" s="61"/>
      <c r="G2036" s="61"/>
      <c r="H2036" s="61"/>
    </row>
    <row r="2037" spans="1:8" s="39" customFormat="1" ht="18" customHeight="1">
      <c r="A2037" s="98" t="s">
        <v>10696</v>
      </c>
      <c r="B2037" s="53" t="s">
        <v>3053</v>
      </c>
      <c r="C2037" s="59" t="s">
        <v>3174</v>
      </c>
      <c r="D2037" s="60" t="s">
        <v>20</v>
      </c>
      <c r="E2037" s="61" t="s">
        <v>3674</v>
      </c>
      <c r="F2037" s="61" t="str">
        <f>$B$330&amp;" + "&amp;$B$332</f>
        <v>鱻勃 + 蘭延渠</v>
      </c>
      <c r="G2037" s="61"/>
      <c r="H2037" s="61"/>
    </row>
    <row r="2038" spans="1:8" s="39" customFormat="1" ht="18" customHeight="1">
      <c r="A2038" s="98" t="s">
        <v>11592</v>
      </c>
      <c r="B2038" s="53" t="s">
        <v>2002</v>
      </c>
      <c r="C2038" s="59" t="s">
        <v>3175</v>
      </c>
      <c r="D2038" s="60" t="s">
        <v>18</v>
      </c>
      <c r="E2038" s="61" t="s">
        <v>3674</v>
      </c>
      <c r="F2038" s="61" t="str">
        <f>$B$375&amp;" + "&amp;$B$387</f>
        <v>詭末 + 納供儒</v>
      </c>
      <c r="G2038" s="61"/>
      <c r="H2038" s="61"/>
    </row>
    <row r="2039" spans="1:8" s="39" customFormat="1" ht="18" customHeight="1">
      <c r="A2039" s="98" t="s">
        <v>11593</v>
      </c>
      <c r="B2039" s="53" t="s">
        <v>1198</v>
      </c>
      <c r="C2039" s="59" t="s">
        <v>3175</v>
      </c>
      <c r="D2039" s="60" t="s">
        <v>18</v>
      </c>
      <c r="E2039" s="61"/>
      <c r="F2039" s="61"/>
      <c r="G2039" s="61"/>
      <c r="H2039" s="61"/>
    </row>
    <row r="2040" spans="1:8" s="39" customFormat="1" ht="18" customHeight="1">
      <c r="A2040" s="98" t="s">
        <v>7313</v>
      </c>
      <c r="B2040" s="53" t="s">
        <v>11477</v>
      </c>
      <c r="C2040" s="59" t="s">
        <v>176</v>
      </c>
      <c r="D2040" s="60"/>
      <c r="E2040" s="61" t="s">
        <v>3674</v>
      </c>
      <c r="F2040" s="61" t="str">
        <f>$B$392&amp;" + "&amp;$B$662</f>
        <v>賈震蜃 + 棄人敖</v>
      </c>
      <c r="G2040" s="61"/>
      <c r="H2040" s="61"/>
    </row>
    <row r="2041" spans="1:8" s="39" customFormat="1" ht="18" customHeight="1">
      <c r="A2041" s="98" t="s">
        <v>7314</v>
      </c>
      <c r="B2041" s="53" t="s">
        <v>11488</v>
      </c>
      <c r="C2041" s="59" t="s">
        <v>176</v>
      </c>
      <c r="D2041" s="60"/>
      <c r="E2041" s="61"/>
      <c r="F2041" s="61"/>
      <c r="G2041" s="61"/>
      <c r="H2041" s="61"/>
    </row>
    <row r="2042" spans="1:8" s="39" customFormat="1" ht="18" customHeight="1">
      <c r="A2042" s="98" t="s">
        <v>10212</v>
      </c>
      <c r="B2042" s="53" t="s">
        <v>8084</v>
      </c>
      <c r="C2042" s="59" t="s">
        <v>149</v>
      </c>
      <c r="D2042" s="60" t="s">
        <v>432</v>
      </c>
      <c r="E2042" s="61" t="s">
        <v>3674</v>
      </c>
      <c r="F2042" s="61" t="str">
        <f>$B$400&amp;" + "&amp;$B$402</f>
        <v>振玉 + 冥靈辰</v>
      </c>
      <c r="G2042" s="61"/>
      <c r="H2042" s="61"/>
    </row>
    <row r="2043" spans="1:8" s="39" customFormat="1" ht="18" customHeight="1">
      <c r="A2043" s="98" t="s">
        <v>10213</v>
      </c>
      <c r="B2043" s="53" t="s">
        <v>2857</v>
      </c>
      <c r="C2043" s="59" t="s">
        <v>149</v>
      </c>
      <c r="D2043" s="60" t="s">
        <v>432</v>
      </c>
      <c r="E2043" s="61"/>
      <c r="F2043" s="61"/>
      <c r="G2043" s="61"/>
      <c r="H2043" s="61"/>
    </row>
    <row r="2044" spans="1:8" s="39" customFormat="1" ht="18" customHeight="1">
      <c r="A2044" s="98" t="s">
        <v>11578</v>
      </c>
      <c r="B2044" s="53" t="s">
        <v>3022</v>
      </c>
      <c r="C2044" s="59" t="s">
        <v>149</v>
      </c>
      <c r="D2044" s="60" t="s">
        <v>183</v>
      </c>
      <c r="E2044" s="61" t="s">
        <v>3674</v>
      </c>
      <c r="F2044" s="61" t="str">
        <f>$B$410&amp;" + "&amp;$B$873</f>
        <v>云依山 + 幻溼</v>
      </c>
      <c r="G2044" s="61"/>
      <c r="H2044" s="61"/>
    </row>
    <row r="2045" spans="1:8" s="39" customFormat="1" ht="18" customHeight="1">
      <c r="A2045" s="98" t="s">
        <v>10737</v>
      </c>
      <c r="B2045" s="53" t="s">
        <v>11465</v>
      </c>
      <c r="C2045" s="59" t="s">
        <v>432</v>
      </c>
      <c r="D2045" s="60"/>
      <c r="E2045" s="61" t="s">
        <v>3674</v>
      </c>
      <c r="F2045" s="61" t="str">
        <f>$B$412&amp;" + "&amp;$B$758</f>
        <v>尹我 + 訕良爾</v>
      </c>
      <c r="G2045" s="61"/>
      <c r="H2045" s="61"/>
    </row>
    <row r="2046" spans="1:8" s="39" customFormat="1" ht="18" customHeight="1">
      <c r="A2046" s="98" t="s">
        <v>10738</v>
      </c>
      <c r="B2046" s="53" t="s">
        <v>11464</v>
      </c>
      <c r="C2046" s="59" t="s">
        <v>432</v>
      </c>
      <c r="D2046" s="60"/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4288</v>
      </c>
      <c r="C2047" s="59" t="s">
        <v>175</v>
      </c>
      <c r="D2047" s="60"/>
      <c r="E2047" s="61" t="s">
        <v>3674</v>
      </c>
      <c r="F2047" s="61" t="str">
        <f>$B$417&amp;" + "&amp;$B$479</f>
        <v>樓英 + 矝奏</v>
      </c>
      <c r="G2047" s="61"/>
      <c r="H2047" s="61"/>
    </row>
    <row r="2048" spans="1:8" s="39" customFormat="1" ht="18" customHeight="1">
      <c r="A2048" s="98" t="s">
        <v>10214</v>
      </c>
      <c r="B2048" s="53" t="s">
        <v>8507</v>
      </c>
      <c r="C2048" s="59" t="s">
        <v>189</v>
      </c>
      <c r="D2048" s="60" t="s">
        <v>3170</v>
      </c>
      <c r="E2048" s="61" t="s">
        <v>3674</v>
      </c>
      <c r="F2048" s="61" t="str">
        <f>$B$434&amp;" + "&amp;$B$436</f>
        <v>錯金籤 + 黃穴首</v>
      </c>
      <c r="G2048" s="61"/>
      <c r="H2048" s="61"/>
    </row>
    <row r="2049" spans="1:8" s="39" customFormat="1" ht="18" customHeight="1">
      <c r="A2049" s="98" t="s">
        <v>10215</v>
      </c>
      <c r="B2049" s="53" t="s">
        <v>5607</v>
      </c>
      <c r="C2049" s="59" t="s">
        <v>189</v>
      </c>
      <c r="D2049" s="60" t="s">
        <v>3170</v>
      </c>
      <c r="E2049" s="61"/>
      <c r="F2049" s="61"/>
      <c r="G2049" s="61"/>
      <c r="H2049" s="61"/>
    </row>
    <row r="2050" spans="1:8" s="39" customFormat="1" ht="18" customHeight="1">
      <c r="A2050" s="98" t="s">
        <v>11579</v>
      </c>
      <c r="B2050" s="53" t="s">
        <v>7692</v>
      </c>
      <c r="C2050" s="59" t="s">
        <v>391</v>
      </c>
      <c r="D2050" s="60"/>
      <c r="E2050" s="61" t="s">
        <v>3674</v>
      </c>
      <c r="F2050" s="61" t="str">
        <f>$B$580&amp;" + "&amp;$B$770</f>
        <v>修渠 + 薄令</v>
      </c>
      <c r="G2050" s="61"/>
      <c r="H2050" s="61"/>
    </row>
    <row r="2051" spans="1:8" s="39" customFormat="1" ht="18" customHeight="1">
      <c r="A2051" s="98" t="s">
        <v>11580</v>
      </c>
      <c r="B2051" s="53" t="s">
        <v>4744</v>
      </c>
      <c r="C2051" s="59" t="s">
        <v>3167</v>
      </c>
      <c r="D2051" s="60" t="s">
        <v>448</v>
      </c>
      <c r="E2051" s="61" t="s">
        <v>3674</v>
      </c>
      <c r="F2051" s="61" t="str">
        <f>$B$615&amp;" + "&amp;$B$799</f>
        <v>莫迻 + 送朙祉</v>
      </c>
      <c r="G2051" s="61"/>
      <c r="H2051" s="61"/>
    </row>
    <row r="2052" spans="1:8" s="39" customFormat="1" ht="18" customHeight="1">
      <c r="A2052" s="98" t="s">
        <v>7318</v>
      </c>
      <c r="B2052" s="53" t="s">
        <v>8335</v>
      </c>
      <c r="C2052" s="59" t="s">
        <v>169</v>
      </c>
      <c r="D2052" s="60"/>
      <c r="E2052" s="61" t="s">
        <v>3674</v>
      </c>
      <c r="F2052" s="61" t="str">
        <f>$B$625&amp;" + "&amp;$B$627</f>
        <v>赫庭 + 昌者蠡</v>
      </c>
      <c r="G2052" s="61"/>
      <c r="H2052" s="61"/>
    </row>
    <row r="2053" spans="1:8" s="39" customFormat="1" ht="18" customHeight="1">
      <c r="A2053" s="98" t="s">
        <v>7319</v>
      </c>
      <c r="B2053" s="53" t="s">
        <v>8371</v>
      </c>
      <c r="C2053" s="59" t="s">
        <v>169</v>
      </c>
      <c r="D2053" s="60"/>
      <c r="E2053" s="61"/>
      <c r="F2053" s="61"/>
      <c r="G2053" s="61"/>
      <c r="H2053" s="61"/>
    </row>
    <row r="2054" spans="1:8" s="39" customFormat="1" ht="18" customHeight="1">
      <c r="A2054" s="98" t="s">
        <v>11594</v>
      </c>
      <c r="B2054" s="53" t="s">
        <v>11245</v>
      </c>
      <c r="C2054" s="59" t="s">
        <v>3136</v>
      </c>
      <c r="D2054" s="60" t="s">
        <v>3170</v>
      </c>
      <c r="E2054" s="61" t="s">
        <v>3674</v>
      </c>
      <c r="F2054" s="61" t="str">
        <f>$B$660&amp;" + "&amp;$B$779</f>
        <v>攜基列 + 叛主龍</v>
      </c>
      <c r="G2054" s="61"/>
      <c r="H2054" s="61"/>
    </row>
    <row r="2055" spans="1:8" s="39" customFormat="1" ht="18" customHeight="1">
      <c r="A2055" s="98" t="s">
        <v>11595</v>
      </c>
      <c r="B2055" s="53" t="s">
        <v>11509</v>
      </c>
      <c r="C2055" s="59" t="s">
        <v>3136</v>
      </c>
      <c r="D2055" s="60" t="s">
        <v>3170</v>
      </c>
      <c r="E2055" s="61"/>
      <c r="F2055" s="61"/>
      <c r="G2055" s="61"/>
      <c r="H2055" s="61"/>
    </row>
    <row r="2056" spans="1:8" s="39" customFormat="1" ht="18" customHeight="1">
      <c r="A2056" s="98" t="s">
        <v>11596</v>
      </c>
      <c r="B2056" s="53" t="s">
        <v>11466</v>
      </c>
      <c r="C2056" s="59" t="s">
        <v>3136</v>
      </c>
      <c r="D2056" s="60" t="s">
        <v>3170</v>
      </c>
      <c r="E2056" s="61"/>
      <c r="F2056" s="61"/>
      <c r="G2056" s="61"/>
      <c r="H2056" s="61"/>
    </row>
    <row r="2057" spans="1:8" s="39" customFormat="1" ht="18" customHeight="1">
      <c r="A2057" s="98" t="s">
        <v>10700</v>
      </c>
      <c r="B2057" s="53" t="s">
        <v>3066</v>
      </c>
      <c r="C2057" s="59" t="s">
        <v>3178</v>
      </c>
      <c r="D2057" s="60"/>
      <c r="E2057" s="61" t="s">
        <v>3674</v>
      </c>
      <c r="F2057" s="61" t="str">
        <f>$B$747&amp;" + "&amp;$B$763</f>
        <v>終勞燕 + 長亭辤</v>
      </c>
      <c r="G2057" s="61"/>
      <c r="H2057" s="61"/>
    </row>
    <row r="2058" spans="1:8" s="39" customFormat="1" ht="18" customHeight="1">
      <c r="A2058" s="98" t="s">
        <v>10701</v>
      </c>
      <c r="B2058" s="53" t="s">
        <v>11484</v>
      </c>
      <c r="C2058" s="59" t="s">
        <v>391</v>
      </c>
      <c r="D2058" s="60" t="s">
        <v>20</v>
      </c>
      <c r="E2058" s="61" t="s">
        <v>3674</v>
      </c>
      <c r="F2058" s="61" t="str">
        <f>$B$759&amp;" + "&amp;$B$782</f>
        <v>普甸 + 熏傳芳</v>
      </c>
      <c r="G2058" s="61"/>
      <c r="H2058" s="61"/>
    </row>
    <row r="2059" spans="1:8" s="39" customFormat="1" ht="18" customHeight="1">
      <c r="A2059" s="98" t="s">
        <v>11597</v>
      </c>
      <c r="B2059" s="53" t="s">
        <v>11616</v>
      </c>
      <c r="C2059" s="59" t="s">
        <v>18</v>
      </c>
      <c r="D2059" s="60" t="s">
        <v>20</v>
      </c>
      <c r="E2059" s="61" t="s">
        <v>3674</v>
      </c>
      <c r="F2059" s="61" t="str">
        <f>$B$803&amp;" + "&amp;$B$808</f>
        <v>棄戮㬎旦 + 殷庫</v>
      </c>
      <c r="G2059" s="61"/>
      <c r="H2059" s="61"/>
    </row>
    <row r="2060" spans="1:8" s="39" customFormat="1" ht="18" customHeight="1">
      <c r="A2060" s="98" t="s">
        <v>11598</v>
      </c>
      <c r="B2060" s="53" t="s">
        <v>7936</v>
      </c>
      <c r="C2060" s="59" t="s">
        <v>18</v>
      </c>
      <c r="D2060" s="60" t="s">
        <v>20</v>
      </c>
      <c r="E2060" s="61"/>
      <c r="F2060" s="61"/>
      <c r="G2060" s="61"/>
      <c r="H2060" s="61"/>
    </row>
    <row r="2061" spans="1:8" s="39" customFormat="1" ht="18" customHeight="1">
      <c r="A2061" s="98" t="s">
        <v>10742</v>
      </c>
      <c r="B2061" s="53" t="s">
        <v>5440</v>
      </c>
      <c r="C2061" s="59" t="s">
        <v>149</v>
      </c>
      <c r="D2061" s="60" t="s">
        <v>180</v>
      </c>
      <c r="E2061" s="61" t="s">
        <v>3674</v>
      </c>
      <c r="F2061" s="61" t="str">
        <f>$B$821&amp;" + "&amp;$B$868</f>
        <v>謁日浮 + 秦涼</v>
      </c>
      <c r="G2061" s="61"/>
      <c r="H2061" s="61"/>
    </row>
    <row r="2062" spans="1:8" s="39" customFormat="1" ht="18" customHeight="1">
      <c r="A2062" s="98" t="s">
        <v>10218</v>
      </c>
      <c r="B2062" s="53" t="s">
        <v>3084</v>
      </c>
      <c r="C2062" s="59" t="s">
        <v>3140</v>
      </c>
      <c r="D2062" s="60" t="s">
        <v>176</v>
      </c>
      <c r="E2062" s="61" t="s">
        <v>3674</v>
      </c>
      <c r="F2062" s="61" t="str">
        <f>$B$894&amp;" + "&amp;$B$896</f>
        <v>天獻廷 + 天視辰</v>
      </c>
      <c r="G2062" s="61"/>
      <c r="H2062" s="61"/>
    </row>
    <row r="2063" spans="1:8" s="39" customFormat="1" ht="18" customHeight="1">
      <c r="A2063" s="98" t="s">
        <v>10219</v>
      </c>
      <c r="B2063" s="53" t="s">
        <v>3085</v>
      </c>
      <c r="C2063" s="59" t="s">
        <v>3140</v>
      </c>
      <c r="D2063" s="60" t="s">
        <v>176</v>
      </c>
      <c r="E2063" s="61"/>
      <c r="F2063" s="61"/>
      <c r="G2063" s="61"/>
      <c r="H2063" s="61"/>
    </row>
    <row r="2064" spans="1:8" s="39" customFormat="1" ht="18" customHeight="1">
      <c r="A2064" s="98" t="s">
        <v>10220</v>
      </c>
      <c r="B2064" s="53" t="s">
        <v>8116</v>
      </c>
      <c r="C2064" s="59" t="s">
        <v>448</v>
      </c>
      <c r="D2064" s="60" t="s">
        <v>149</v>
      </c>
      <c r="E2064" s="61" t="s">
        <v>3674</v>
      </c>
      <c r="F2064" s="61" t="str">
        <f>$B$913&amp;" + "&amp;$B$915</f>
        <v>白鼩慢 + 霚盈翁</v>
      </c>
      <c r="G2064" s="61"/>
      <c r="H2064" s="61"/>
    </row>
    <row r="2065" spans="1:8" s="39" customFormat="1" ht="18" customHeight="1">
      <c r="A2065" s="98" t="s">
        <v>10221</v>
      </c>
      <c r="B2065" s="53" t="s">
        <v>10973</v>
      </c>
      <c r="C2065" s="59" t="s">
        <v>448</v>
      </c>
      <c r="D2065" s="60" t="s">
        <v>149</v>
      </c>
      <c r="E2065" s="61"/>
      <c r="F2065" s="61"/>
      <c r="G2065" s="61"/>
      <c r="H2065" s="61"/>
    </row>
    <row r="2066" spans="1:8" s="39" customFormat="1" ht="18" customHeight="1">
      <c r="A2066" s="98" t="s">
        <v>11581</v>
      </c>
      <c r="B2066" s="53" t="s">
        <v>1237</v>
      </c>
      <c r="C2066" s="59" t="s">
        <v>20</v>
      </c>
      <c r="D2066" s="60"/>
      <c r="E2066" s="61" t="s">
        <v>3674</v>
      </c>
      <c r="F2066" s="61" t="str">
        <f>$B$919&amp;" + "&amp;$B$459</f>
        <v>菌書臺 + 貯根歌</v>
      </c>
      <c r="G2066" s="61"/>
      <c r="H2066" s="61"/>
    </row>
    <row r="2067" spans="1:8" s="39" customFormat="1" ht="18" customHeight="1">
      <c r="A2067" s="98" t="s">
        <v>11582</v>
      </c>
      <c r="B2067" s="53" t="s">
        <v>3100</v>
      </c>
      <c r="C2067" s="59" t="s">
        <v>20</v>
      </c>
      <c r="D2067" s="60" t="s">
        <v>169</v>
      </c>
      <c r="E2067" s="61" t="s">
        <v>3674</v>
      </c>
      <c r="F2067" s="61" t="str">
        <f>$B$919&amp;" + "&amp;$B$845</f>
        <v>菌書臺 + 芡美</v>
      </c>
      <c r="G2067" s="61"/>
      <c r="H2067" s="61"/>
    </row>
    <row r="2068" spans="1:8" s="39" customFormat="1" ht="18" customHeight="1">
      <c r="A2068" s="98" t="s">
        <v>10703</v>
      </c>
      <c r="B2068" s="53" t="s">
        <v>8119</v>
      </c>
      <c r="C2068" s="59" t="s">
        <v>169</v>
      </c>
      <c r="D2068" s="60"/>
      <c r="E2068" s="61" t="s">
        <v>3674</v>
      </c>
      <c r="F2068" s="61" t="str">
        <f>$B$922&amp;" + "&amp;$B$457</f>
        <v>炊上龜 + 尤柔水</v>
      </c>
      <c r="G2068" s="61"/>
      <c r="H2068" s="61"/>
    </row>
    <row r="2069" spans="1:8" s="39" customFormat="1" ht="18" customHeight="1">
      <c r="A2069" s="98" t="s">
        <v>10704</v>
      </c>
      <c r="B2069" s="53" t="s">
        <v>4454</v>
      </c>
      <c r="C2069" s="59" t="s">
        <v>169</v>
      </c>
      <c r="D2069" s="60" t="s">
        <v>168</v>
      </c>
      <c r="E2069" s="61" t="s">
        <v>3674</v>
      </c>
      <c r="F2069" s="61" t="str">
        <f>$B$922&amp;" + "&amp;$B$704</f>
        <v>炊上龜 + 員臼鼈</v>
      </c>
      <c r="G2069" s="61" t="s">
        <v>5242</v>
      </c>
      <c r="H2069" s="61"/>
    </row>
    <row r="2070" spans="1:8" s="39" customFormat="1" ht="18" customHeight="1">
      <c r="A2070" s="98" t="s">
        <v>10705</v>
      </c>
      <c r="B2070" s="53" t="s">
        <v>3111</v>
      </c>
      <c r="C2070" s="59" t="s">
        <v>151</v>
      </c>
      <c r="D2070" s="60"/>
      <c r="E2070" s="61" t="s">
        <v>3674</v>
      </c>
      <c r="F2070" s="61" t="str">
        <f>$B$924&amp;" + "&amp;$B$455</f>
        <v>熾委背 + 大火缶</v>
      </c>
      <c r="G2070" s="61"/>
      <c r="H2070" s="61"/>
    </row>
    <row r="2071" spans="1:8" s="39" customFormat="1" ht="18" customHeight="1">
      <c r="A2071" s="98" t="s">
        <v>10706</v>
      </c>
      <c r="B2071" s="53" t="s">
        <v>11295</v>
      </c>
      <c r="C2071" s="59" t="s">
        <v>151</v>
      </c>
      <c r="D2071" s="60" t="s">
        <v>448</v>
      </c>
      <c r="E2071" s="61" t="s">
        <v>3674</v>
      </c>
      <c r="F2071" s="61" t="str">
        <f>$B$924&amp;" + "&amp;$B$106</f>
        <v>熾委背 + 月劾氒王</v>
      </c>
      <c r="G2071" s="61"/>
      <c r="H2071" s="61"/>
    </row>
    <row r="2072" spans="1:8" s="39" customFormat="1" ht="18" customHeight="1">
      <c r="A2072" s="98" t="s">
        <v>10746</v>
      </c>
      <c r="B2072" s="53" t="s">
        <v>11602</v>
      </c>
      <c r="C2072" s="59" t="s">
        <v>11556</v>
      </c>
      <c r="D2072" s="60" t="s">
        <v>11557</v>
      </c>
      <c r="E2072" s="61" t="s">
        <v>3674</v>
      </c>
      <c r="F2072" s="61" t="str">
        <f>$B$1138&amp;" + "&amp;$B$1281</f>
        <v>牻隻鎌 + 不識鈍耑</v>
      </c>
      <c r="G2072" s="61"/>
      <c r="H2072" s="61"/>
    </row>
    <row r="2073" spans="1:8" s="39" customFormat="1" ht="18" customHeight="1">
      <c r="A2073" s="98" t="s">
        <v>10747</v>
      </c>
      <c r="B2073" s="53" t="s">
        <v>7578</v>
      </c>
      <c r="C2073" s="59" t="s">
        <v>149</v>
      </c>
      <c r="D2073" s="60" t="s">
        <v>18</v>
      </c>
      <c r="E2073" s="61" t="s">
        <v>3674</v>
      </c>
      <c r="F2073" s="61" t="str">
        <f>$B$1373&amp;" + "&amp;$B$1374</f>
        <v>破員鱖 + 度山鸛</v>
      </c>
      <c r="G2073" s="61"/>
      <c r="H2073" s="61"/>
    </row>
    <row r="2074" spans="1:8" s="39" customFormat="1" ht="18" customHeight="1">
      <c r="A2074" s="98" t="s">
        <v>10748</v>
      </c>
      <c r="B2074" s="53" t="s">
        <v>8309</v>
      </c>
      <c r="C2074" s="59" t="s">
        <v>149</v>
      </c>
      <c r="D2074" s="60" t="s">
        <v>18</v>
      </c>
      <c r="E2074" s="61"/>
      <c r="F2074" s="61"/>
      <c r="G2074" s="61"/>
      <c r="H2074" s="61"/>
    </row>
    <row r="2075" spans="1:8" s="39" customFormat="1" ht="18" customHeight="1">
      <c r="A2075" s="98" t="s">
        <v>11599</v>
      </c>
      <c r="B2075" s="53" t="s">
        <v>4311</v>
      </c>
      <c r="C2075" s="59" t="s">
        <v>3178</v>
      </c>
      <c r="D2075" s="60"/>
      <c r="E2075" s="61" t="s">
        <v>3674</v>
      </c>
      <c r="F2075" s="61" t="str">
        <f>$B$1373&amp;" + "&amp;$B$1374</f>
        <v>破員鱖 + 度山鸛</v>
      </c>
      <c r="G2075" s="61"/>
      <c r="H2075" s="61"/>
    </row>
    <row r="2076" spans="1:8" s="39" customFormat="1" ht="18" customHeight="1">
      <c r="A2076" s="98" t="s">
        <v>11600</v>
      </c>
      <c r="B2076" s="53" t="s">
        <v>4404</v>
      </c>
      <c r="C2076" s="59" t="s">
        <v>3178</v>
      </c>
      <c r="D2076" s="60"/>
      <c r="E2076" s="61"/>
      <c r="F2076" s="61"/>
      <c r="G2076" s="61"/>
      <c r="H2076" s="61"/>
    </row>
    <row r="2077" spans="1:8" s="39" customFormat="1" ht="18" customHeight="1">
      <c r="A2077" s="98" t="s">
        <v>10708</v>
      </c>
      <c r="B2077" s="53" t="s">
        <v>11615</v>
      </c>
      <c r="C2077" s="59" t="s">
        <v>11554</v>
      </c>
      <c r="D2077" s="60" t="s">
        <v>11555</v>
      </c>
      <c r="E2077" s="61" t="s">
        <v>3674</v>
      </c>
      <c r="F2077" s="61" t="str">
        <f>$B$1615&amp;" + "&amp;$B$1963</f>
        <v>蟫脈朢 + 丙末曑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11601</v>
      </c>
      <c r="B2081" s="53" t="s">
        <v>11429</v>
      </c>
      <c r="C2081" s="59" t="s">
        <v>4589</v>
      </c>
      <c r="D2081" s="60"/>
      <c r="F2081" s="61"/>
      <c r="G2081" s="61" t="s">
        <v>11425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L1"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11534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11236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11130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11127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11127</v>
      </c>
      <c r="E3" s="50" t="s">
        <v>4147</v>
      </c>
    </row>
    <row r="4" spans="1:5" ht="20.100000000000001" customHeight="1">
      <c r="A4" s="47" t="s">
        <v>11422</v>
      </c>
      <c r="B4" s="48" t="s">
        <v>1980</v>
      </c>
      <c r="C4" s="49" t="s">
        <v>4106</v>
      </c>
      <c r="D4" s="99" t="s">
        <v>11127</v>
      </c>
      <c r="E4" s="50" t="s">
        <v>8794</v>
      </c>
    </row>
    <row r="5" spans="1:5" ht="20.100000000000001" customHeight="1">
      <c r="A5" s="47" t="s">
        <v>11421</v>
      </c>
      <c r="B5" s="48" t="s">
        <v>1980</v>
      </c>
      <c r="C5" s="49" t="s">
        <v>4107</v>
      </c>
      <c r="D5" s="99" t="s">
        <v>11127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11127</v>
      </c>
      <c r="E6" s="50" t="s">
        <v>4137</v>
      </c>
    </row>
    <row r="7" spans="1:5" ht="20.100000000000001" customHeight="1">
      <c r="A7" s="47" t="s">
        <v>11543</v>
      </c>
      <c r="B7" s="48" t="s">
        <v>1980</v>
      </c>
      <c r="C7" s="49" t="s">
        <v>4109</v>
      </c>
      <c r="D7" s="99" t="s">
        <v>11127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11127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11127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11127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11127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11127</v>
      </c>
      <c r="E12" s="50" t="s">
        <v>8360</v>
      </c>
    </row>
    <row r="13" spans="1:5" ht="20.100000000000001" customHeight="1">
      <c r="A13" s="47" t="s">
        <v>11423</v>
      </c>
      <c r="B13" s="48" t="s">
        <v>1980</v>
      </c>
      <c r="C13" s="49" t="s">
        <v>4113</v>
      </c>
      <c r="D13" s="99" t="s">
        <v>11127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11127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11127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11127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11128</v>
      </c>
      <c r="E17" s="50" t="s">
        <v>11131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11128</v>
      </c>
      <c r="E18" s="50" t="s">
        <v>11132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11128</v>
      </c>
      <c r="E19" s="50" t="s">
        <v>11133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11129</v>
      </c>
      <c r="E20" s="50" t="s">
        <v>11134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11129</v>
      </c>
      <c r="E21" s="50" t="s">
        <v>11135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11129</v>
      </c>
      <c r="E22" s="50" t="s">
        <v>11136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11416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11415</v>
      </c>
      <c r="B27" s="48" t="s">
        <v>1975</v>
      </c>
      <c r="C27" s="49" t="s">
        <v>11417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11141</v>
      </c>
      <c r="B32" s="48"/>
      <c r="C32" s="49"/>
      <c r="D32" s="100" t="s">
        <v>11137</v>
      </c>
      <c r="E32" s="50" t="s">
        <v>11187</v>
      </c>
    </row>
    <row r="33" spans="1:5" ht="20.100000000000001" customHeight="1">
      <c r="A33" s="47" t="s">
        <v>11142</v>
      </c>
      <c r="B33" s="48"/>
      <c r="C33" s="49"/>
      <c r="D33" s="100" t="s">
        <v>11137</v>
      </c>
      <c r="E33" s="50" t="s">
        <v>11188</v>
      </c>
    </row>
    <row r="34" spans="1:5" ht="20.100000000000001" customHeight="1">
      <c r="A34" s="47" t="s">
        <v>11186</v>
      </c>
      <c r="B34" s="48"/>
      <c r="C34" s="49" t="s">
        <v>11196</v>
      </c>
      <c r="D34" s="100" t="s">
        <v>11137</v>
      </c>
      <c r="E34" s="50" t="s">
        <v>11189</v>
      </c>
    </row>
    <row r="35" spans="1:5" ht="20.100000000000001" customHeight="1">
      <c r="A35" s="47" t="s">
        <v>11148</v>
      </c>
      <c r="B35" s="48"/>
      <c r="C35" s="49"/>
      <c r="D35" s="100" t="s">
        <v>11137</v>
      </c>
      <c r="E35" s="50" t="s">
        <v>11190</v>
      </c>
    </row>
    <row r="36" spans="1:5" ht="20.100000000000001" customHeight="1">
      <c r="A36" s="47" t="s">
        <v>11418</v>
      </c>
      <c r="B36" s="48"/>
      <c r="C36" s="49" t="s">
        <v>11420</v>
      </c>
      <c r="D36" s="100" t="s">
        <v>11137</v>
      </c>
      <c r="E36" s="50" t="s">
        <v>11419</v>
      </c>
    </row>
    <row r="37" spans="1:5" ht="20.100000000000001" customHeight="1">
      <c r="A37" s="47" t="s">
        <v>11149</v>
      </c>
      <c r="B37" s="48"/>
      <c r="C37" s="49"/>
      <c r="D37" s="100" t="s">
        <v>11138</v>
      </c>
      <c r="E37" s="50" t="s">
        <v>11181</v>
      </c>
    </row>
    <row r="38" spans="1:5" ht="20.100000000000001" customHeight="1">
      <c r="A38" s="47" t="s">
        <v>11150</v>
      </c>
      <c r="B38" s="48"/>
      <c r="C38" s="49"/>
      <c r="D38" s="100" t="s">
        <v>11138</v>
      </c>
      <c r="E38" s="50" t="s">
        <v>11182</v>
      </c>
    </row>
    <row r="39" spans="1:5" ht="20.100000000000001" customHeight="1">
      <c r="A39" s="47" t="s">
        <v>11151</v>
      </c>
      <c r="B39" s="48"/>
      <c r="C39" s="49"/>
      <c r="D39" s="100" t="s">
        <v>11138</v>
      </c>
      <c r="E39" s="50" t="s">
        <v>11183</v>
      </c>
    </row>
    <row r="40" spans="1:5" ht="20.100000000000001" customHeight="1">
      <c r="A40" s="47" t="s">
        <v>11152</v>
      </c>
      <c r="B40" s="48"/>
      <c r="C40" s="49" t="s">
        <v>11199</v>
      </c>
      <c r="D40" s="100" t="s">
        <v>11138</v>
      </c>
      <c r="E40" s="50" t="s">
        <v>11184</v>
      </c>
    </row>
    <row r="41" spans="1:5" ht="20.100000000000001" customHeight="1">
      <c r="A41" s="47" t="s">
        <v>11197</v>
      </c>
      <c r="B41" s="48"/>
      <c r="C41" s="49"/>
      <c r="D41" s="100" t="s">
        <v>11138</v>
      </c>
      <c r="E41" s="50" t="s">
        <v>11185</v>
      </c>
    </row>
    <row r="42" spans="1:5" ht="20.100000000000001" customHeight="1">
      <c r="A42" s="47" t="s">
        <v>11154</v>
      </c>
      <c r="B42" s="48"/>
      <c r="C42" s="49"/>
      <c r="D42" s="100" t="s">
        <v>11139</v>
      </c>
      <c r="E42" s="50" t="s">
        <v>11172</v>
      </c>
    </row>
    <row r="43" spans="1:5" ht="20.100000000000001" customHeight="1">
      <c r="A43" s="47" t="s">
        <v>11194</v>
      </c>
      <c r="B43" s="48"/>
      <c r="C43" s="49"/>
      <c r="D43" s="100" t="s">
        <v>11139</v>
      </c>
      <c r="E43" s="50" t="s">
        <v>11173</v>
      </c>
    </row>
    <row r="44" spans="1:5" ht="20.100000000000001" customHeight="1">
      <c r="A44" s="47" t="s">
        <v>11153</v>
      </c>
      <c r="B44" s="48"/>
      <c r="C44" s="49"/>
      <c r="D44" s="100" t="s">
        <v>11139</v>
      </c>
      <c r="E44" s="50" t="s">
        <v>11174</v>
      </c>
    </row>
    <row r="45" spans="1:5" ht="20.100000000000001" customHeight="1">
      <c r="A45" s="47" t="s">
        <v>11155</v>
      </c>
      <c r="B45" s="48"/>
      <c r="C45" s="49" t="s">
        <v>11201</v>
      </c>
      <c r="D45" s="100" t="s">
        <v>11139</v>
      </c>
      <c r="E45" s="50" t="s">
        <v>11175</v>
      </c>
    </row>
    <row r="46" spans="1:5" ht="20.100000000000001" customHeight="1">
      <c r="A46" s="47" t="s">
        <v>11156</v>
      </c>
      <c r="B46" s="48"/>
      <c r="C46" s="49"/>
      <c r="D46" s="100" t="s">
        <v>11198</v>
      </c>
      <c r="E46" s="50" t="s">
        <v>11177</v>
      </c>
    </row>
    <row r="47" spans="1:5" ht="20.100000000000001" customHeight="1">
      <c r="A47" s="47" t="s">
        <v>11157</v>
      </c>
      <c r="B47" s="48"/>
      <c r="C47" s="49"/>
      <c r="D47" s="100" t="s">
        <v>11198</v>
      </c>
      <c r="E47" s="50" t="s">
        <v>11178</v>
      </c>
    </row>
    <row r="48" spans="1:5" ht="20.100000000000001" customHeight="1">
      <c r="A48" s="47" t="s">
        <v>11158</v>
      </c>
      <c r="B48" s="48"/>
      <c r="C48" s="49"/>
      <c r="D48" s="100" t="s">
        <v>11198</v>
      </c>
      <c r="E48" s="50" t="s">
        <v>11179</v>
      </c>
    </row>
    <row r="49" spans="1:5" ht="20.100000000000001" customHeight="1">
      <c r="A49" s="47" t="s">
        <v>11159</v>
      </c>
      <c r="B49" s="48"/>
      <c r="C49" s="49" t="s">
        <v>11176</v>
      </c>
      <c r="D49" s="100" t="s">
        <v>11198</v>
      </c>
      <c r="E49" s="50" t="s">
        <v>11180</v>
      </c>
    </row>
    <row r="50" spans="1:5" ht="20.100000000000001" customHeight="1">
      <c r="A50" s="47" t="s">
        <v>11160</v>
      </c>
      <c r="B50" s="48"/>
      <c r="C50" s="49" t="s">
        <v>11164</v>
      </c>
      <c r="D50" s="100" t="s">
        <v>11140</v>
      </c>
      <c r="E50" s="50" t="s">
        <v>11166</v>
      </c>
    </row>
    <row r="51" spans="1:5" ht="20.100000000000001" customHeight="1">
      <c r="A51" s="47" t="s">
        <v>11165</v>
      </c>
      <c r="B51" s="48"/>
      <c r="C51" s="49" t="s">
        <v>11207</v>
      </c>
      <c r="D51" s="100" t="s">
        <v>11140</v>
      </c>
      <c r="E51" s="50" t="s">
        <v>11167</v>
      </c>
    </row>
    <row r="52" spans="1:5" ht="20.100000000000001" customHeight="1">
      <c r="A52" s="47" t="s">
        <v>11161</v>
      </c>
      <c r="B52" s="48"/>
      <c r="C52" s="49" t="s">
        <v>11195</v>
      </c>
      <c r="D52" s="100" t="s">
        <v>11140</v>
      </c>
      <c r="E52" s="50" t="s">
        <v>11168</v>
      </c>
    </row>
    <row r="53" spans="1:5" ht="20.100000000000001" customHeight="1">
      <c r="A53" s="47" t="s">
        <v>11536</v>
      </c>
      <c r="B53" s="48"/>
      <c r="C53" s="49"/>
      <c r="D53" s="100" t="s">
        <v>11140</v>
      </c>
      <c r="E53" s="50" t="s">
        <v>11169</v>
      </c>
    </row>
    <row r="54" spans="1:5" ht="20.100000000000001" customHeight="1">
      <c r="A54" s="47" t="s">
        <v>11162</v>
      </c>
      <c r="B54" s="48"/>
      <c r="C54" s="49"/>
      <c r="D54" s="100" t="s">
        <v>11140</v>
      </c>
      <c r="E54" s="50" t="s">
        <v>11170</v>
      </c>
    </row>
    <row r="55" spans="1:5" ht="20.100000000000001" customHeight="1">
      <c r="A55" s="47" t="s">
        <v>11163</v>
      </c>
      <c r="B55" s="48"/>
      <c r="C55" s="49"/>
      <c r="D55" s="100" t="s">
        <v>11140</v>
      </c>
      <c r="E55" s="50" t="s">
        <v>11171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2026-07-01T10:41:30Z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